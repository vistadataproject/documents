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H:\2019\"/>
    </mc:Choice>
  </mc:AlternateContent>
  <bookViews>
    <workbookView xWindow="15105" yWindow="45" windowWidth="13500" windowHeight="13260" tabRatio="879" firstSheet="5" activeTab="5"/>
  </bookViews>
  <sheets>
    <sheet name="System Disk Checklist " sheetId="1" state="hidden" r:id="rId1"/>
    <sheet name="User Disk Checklist" sheetId="2" state="hidden" r:id="rId2"/>
    <sheet name="NDC Info" sheetId="3" r:id="rId3"/>
    <sheet name="PRE-REQUISITES" sheetId="32" r:id="rId4"/>
    <sheet name="SITE prep" sheetId="29" r:id="rId5"/>
    <sheet name="BYN PITC prep" sheetId="26" r:id="rId6"/>
    <sheet name="DB move" sheetId="28" r:id="rId7"/>
    <sheet name="Notifications" sheetId="30" r:id="rId8"/>
    <sheet name="Monday" sheetId="20" r:id="rId9"/>
    <sheet name="Tue" sheetId="22" r:id="rId10"/>
    <sheet name="Wed" sheetId="21" r:id="rId11"/>
    <sheet name="Thur" sheetId="9" r:id="rId12"/>
    <sheet name="Fri" sheetId="10" r:id="rId13"/>
    <sheet name="Sat" sheetId="23" r:id="rId14"/>
    <sheet name="Sun" sheetId="12" r:id="rId15"/>
    <sheet name="Mon" sheetId="13" r:id="rId16"/>
    <sheet name="&gt;1Wk Post" sheetId="14" r:id="rId17"/>
    <sheet name="Color Codes" sheetId="17" state="hidden" r:id="rId18"/>
    <sheet name="Archived_Steps" sheetId="31" r:id="rId19"/>
  </sheets>
  <functionGroups builtInGroupCount="18"/>
  <externalReferences>
    <externalReference r:id="rId20"/>
  </externalReferences>
  <definedNames>
    <definedName name="_xlnm._FilterDatabase" localSheetId="11" hidden="1">Thur!#REF!</definedName>
    <definedName name="_Toc150072271" localSheetId="5">'BYN PITC prep'!#REF!</definedName>
    <definedName name="_Toc150072271" localSheetId="6">'DB move'!#REF!</definedName>
    <definedName name="_Toc150072271" localSheetId="3">'PRE-REQUISITES'!#REF!</definedName>
    <definedName name="_Toc150072271" localSheetId="4">'SITE prep'!$C$36</definedName>
    <definedName name="_Toc328983965" localSheetId="5">'BYN PITC prep'!#REF!</definedName>
    <definedName name="_Toc328983965" localSheetId="6">'DB move'!#REF!</definedName>
    <definedName name="_Toc328983965" localSheetId="3">'PRE-REQUISITES'!#REF!</definedName>
    <definedName name="_Toc328983965" localSheetId="4">'SITE prep'!#REF!</definedName>
    <definedName name="_Toc328983966" localSheetId="5">'BYN PITC prep'!#REF!</definedName>
    <definedName name="_Toc328983966" localSheetId="6">'DB move'!#REF!</definedName>
    <definedName name="_Toc328983966" localSheetId="3">'PRE-REQUISITES'!#REF!</definedName>
    <definedName name="_Toc328983966" localSheetId="4">'SITE prep'!$C$36</definedName>
    <definedName name="C_">", "</definedName>
    <definedName name="COM" comment="adds the date complete" localSheetId="3">DateAndTime()</definedName>
    <definedName name="COM" comment="adds the date complete">DateAndTime()</definedName>
    <definedName name="MyTempMark" localSheetId="12">Fri!#REF!</definedName>
    <definedName name="_xlnm.Print_Titles" localSheetId="5">'BYN PITC prep'!$1:$2</definedName>
    <definedName name="_xlnm.Print_Titles" localSheetId="6">'DB move'!$1:$2</definedName>
    <definedName name="_xlnm.Print_Titles" localSheetId="12">Fri!$1:$2</definedName>
    <definedName name="_xlnm.Print_Titles" localSheetId="3">'PRE-REQUISITES'!$1:$2</definedName>
    <definedName name="_xlnm.Print_Titles" localSheetId="13">Sat!#REF!</definedName>
    <definedName name="_xlnm.Print_Titles" localSheetId="4">'SITE prep'!$1:$2</definedName>
    <definedName name="_xlnm.Print_Titles" localSheetId="11">Thur!#REF!</definedName>
    <definedName name="Z_7FBF45D6_F685_4C77_B0BA_F72AA644D01D_.wvu.FilterData" localSheetId="11" hidden="1">Thur!#REF!</definedName>
    <definedName name="Z_7FBF45D6_F685_4C77_B0BA_F72AA644D01D_.wvu.PrintArea" localSheetId="16" hidden="1">'&gt;1Wk Post'!$A$1:$G$5</definedName>
    <definedName name="Z_7FBF45D6_F685_4C77_B0BA_F72AA644D01D_.wvu.PrintArea" localSheetId="5" hidden="1">'BYN PITC prep'!$B$1:$H$33</definedName>
    <definedName name="Z_7FBF45D6_F685_4C77_B0BA_F72AA644D01D_.wvu.PrintArea" localSheetId="6" hidden="1">'DB move'!$A$1:$G$2</definedName>
    <definedName name="Z_7FBF45D6_F685_4C77_B0BA_F72AA644D01D_.wvu.PrintArea" localSheetId="12" hidden="1">Fri!$A$1:$G$9</definedName>
    <definedName name="Z_7FBF45D6_F685_4C77_B0BA_F72AA644D01D_.wvu.PrintArea" localSheetId="15" hidden="1">Mon!$A$1:$H$16</definedName>
    <definedName name="Z_7FBF45D6_F685_4C77_B0BA_F72AA644D01D_.wvu.PrintArea" localSheetId="3" hidden="1">'PRE-REQUISITES'!$B$1:$H$9</definedName>
    <definedName name="Z_7FBF45D6_F685_4C77_B0BA_F72AA644D01D_.wvu.PrintArea" localSheetId="13" hidden="1">Sat!#REF!</definedName>
    <definedName name="Z_7FBF45D6_F685_4C77_B0BA_F72AA644D01D_.wvu.PrintArea" localSheetId="4" hidden="1">'SITE prep'!$B$1:$H$42</definedName>
    <definedName name="Z_7FBF45D6_F685_4C77_B0BA_F72AA644D01D_.wvu.PrintArea" localSheetId="14" hidden="1">Sun!$A$1:$G$8</definedName>
    <definedName name="Z_7FBF45D6_F685_4C77_B0BA_F72AA644D01D_.wvu.PrintArea" localSheetId="11" hidden="1">Thur!#REF!</definedName>
    <definedName name="Z_7FBF45D6_F685_4C77_B0BA_F72AA644D01D_.wvu.PrintArea" localSheetId="9" hidden="1">[1]Wed!$A$5:$G$11</definedName>
    <definedName name="Z_7FBF45D6_F685_4C77_B0BA_F72AA644D01D_.wvu.PrintTitles" localSheetId="12" hidden="1">Fri!$1:$2</definedName>
    <definedName name="Z_7FBF45D6_F685_4C77_B0BA_F72AA644D01D_.wvu.PrintTitles" localSheetId="13" hidden="1">Sat!#REF!</definedName>
    <definedName name="Z_7FBF45D6_F685_4C77_B0BA_F72AA644D01D_.wvu.PrintTitles" localSheetId="11" hidden="1">Thur!#REF!</definedName>
    <definedName name="Z_7FBF45D6_F685_4C77_B0BA_F72AA644D01D_.wvu.PrintTitles" localSheetId="9" hidden="1">[1]Wed!#REF!</definedName>
    <definedName name="Z_AC2BCB63_8807_499F_9157_FFFCFF89CB73_.wvu.FilterData" localSheetId="11" hidden="1">Thur!#REF!</definedName>
    <definedName name="Z_AC2BCB63_8807_499F_9157_FFFCFF89CB73_.wvu.PrintArea" localSheetId="16" hidden="1">'&gt;1Wk Post'!$A$1:$G$5</definedName>
    <definedName name="Z_AC2BCB63_8807_499F_9157_FFFCFF89CB73_.wvu.PrintArea" localSheetId="5" hidden="1">'BYN PITC prep'!$B$1:$H$33</definedName>
    <definedName name="Z_AC2BCB63_8807_499F_9157_FFFCFF89CB73_.wvu.PrintArea" localSheetId="6" hidden="1">'DB move'!$A$1:$G$2</definedName>
    <definedName name="Z_AC2BCB63_8807_499F_9157_FFFCFF89CB73_.wvu.PrintArea" localSheetId="12" hidden="1">Fri!$A$1:$G$9</definedName>
    <definedName name="Z_AC2BCB63_8807_499F_9157_FFFCFF89CB73_.wvu.PrintArea" localSheetId="15" hidden="1">Mon!$A$1:$H$16</definedName>
    <definedName name="Z_AC2BCB63_8807_499F_9157_FFFCFF89CB73_.wvu.PrintArea" localSheetId="3" hidden="1">'PRE-REQUISITES'!$B$1:$H$9</definedName>
    <definedName name="Z_AC2BCB63_8807_499F_9157_FFFCFF89CB73_.wvu.PrintArea" localSheetId="13" hidden="1">Sat!#REF!</definedName>
    <definedName name="Z_AC2BCB63_8807_499F_9157_FFFCFF89CB73_.wvu.PrintArea" localSheetId="4" hidden="1">'SITE prep'!$B$1:$H$42</definedName>
    <definedName name="Z_AC2BCB63_8807_499F_9157_FFFCFF89CB73_.wvu.PrintArea" localSheetId="14" hidden="1">Sun!$A$1:$G$8</definedName>
    <definedName name="Z_AC2BCB63_8807_499F_9157_FFFCFF89CB73_.wvu.PrintArea" localSheetId="11" hidden="1">Thur!#REF!</definedName>
    <definedName name="Z_AC2BCB63_8807_499F_9157_FFFCFF89CB73_.wvu.PrintArea" localSheetId="9" hidden="1">[1]Wed!$A$5:$G$11</definedName>
    <definedName name="Z_AC2BCB63_8807_499F_9157_FFFCFF89CB73_.wvu.PrintTitles" localSheetId="12" hidden="1">Fri!$1:$2</definedName>
    <definedName name="Z_AC2BCB63_8807_499F_9157_FFFCFF89CB73_.wvu.PrintTitles" localSheetId="13" hidden="1">Sat!#REF!</definedName>
    <definedName name="Z_AC2BCB63_8807_499F_9157_FFFCFF89CB73_.wvu.PrintTitles" localSheetId="11" hidden="1">Thur!#REF!</definedName>
    <definedName name="Z_AC2BCB63_8807_499F_9157_FFFCFF89CB73_.wvu.PrintTitles" localSheetId="9" hidden="1">[1]Wed!#REF!</definedName>
  </definedNames>
  <calcPr calcId="171027"/>
  <customWorkbookViews>
    <customWorkbookView name="Chip Neveux - Personal View" guid="{7FBF45D6-F685-4C77-B0BA-F72AA644D01D}" mergeInterval="0" personalView="1" maximized="1" windowWidth="1069" windowHeight="697" tabRatio="870" activeSheetId="11" showStatusbar="0"/>
    <customWorkbookView name="Michael Simmons - Personal View" guid="{AC2BCB63-8807-499F-9157-FFFCFF89CB73}" mergeInterval="0" personalView="1" maximized="1" windowWidth="958" windowHeight="542" tabRatio="870" activeSheetId="11" showStatusbar="0"/>
  </customWorkbookViews>
</workbook>
</file>

<file path=xl/calcChain.xml><?xml version="1.0" encoding="utf-8"?>
<calcChain xmlns="http://schemas.openxmlformats.org/spreadsheetml/2006/main">
  <c r="F17" i="32" l="1"/>
  <c r="F16" i="32"/>
  <c r="F19" i="32" l="1"/>
  <c r="G16" i="32" s="1"/>
  <c r="F75" i="29"/>
  <c r="G17" i="32" l="1"/>
  <c r="G19" i="32" s="1"/>
  <c r="F25" i="28"/>
  <c r="F22" i="30"/>
  <c r="F36" i="26"/>
  <c r="F26" i="28" l="1"/>
  <c r="F28" i="28" s="1"/>
  <c r="G25" i="28" s="1"/>
  <c r="F23" i="30"/>
  <c r="F74" i="29" l="1"/>
  <c r="F37" i="26"/>
  <c r="G26" i="28"/>
  <c r="F25" i="30"/>
  <c r="G22" i="30" s="1"/>
  <c r="F39" i="26" l="1"/>
  <c r="G28" i="28"/>
  <c r="G23" i="30"/>
  <c r="G37" i="26" l="1"/>
  <c r="G36" i="26"/>
  <c r="G25" i="30"/>
  <c r="G39" i="26" l="1"/>
  <c r="F77" i="29"/>
  <c r="G74" i="29" l="1"/>
  <c r="G75" i="29"/>
  <c r="G77" i="29" l="1"/>
</calcChain>
</file>

<file path=xl/sharedStrings.xml><?xml version="1.0" encoding="utf-8"?>
<sst xmlns="http://schemas.openxmlformats.org/spreadsheetml/2006/main" count="1169" uniqueCount="664">
  <si>
    <t>SITE</t>
  </si>
  <si>
    <t>M05</t>
  </si>
  <si>
    <t>17. Create new license file COMPAQ$:[COMPAQ.CONV]SITE_LICENSE.TXT</t>
  </si>
  <si>
    <t>18. SET  DEF COMPAQ$:[COMPAQ.CONV]</t>
  </si>
  <si>
    <t>19. Run @READ_LICENSES if system is 4100. If not see document</t>
  </si>
  <si>
    <t>20. Delete queues</t>
  </si>
  <si>
    <t>21. Remove identifiers</t>
  </si>
  <si>
    <t>36. Delete TCPIP interface WEA0 if it exists</t>
  </si>
  <si>
    <t>37. Modify DIAG system information</t>
  </si>
  <si>
    <t>F20</t>
  </si>
  <si>
    <t>25. Edit AGEN$SITE if necessary</t>
  </si>
  <si>
    <t>26. Modify SYS$:[SWCC$AGENT]NODE.LST</t>
  </si>
  <si>
    <t>27. Edit SYS$MANAGER:AMDS$DRIVER_ACCESS.DAT</t>
  </si>
  <si>
    <t>28. AUTOGEN A01 with shutdown</t>
  </si>
  <si>
    <t>29. Conversationally boot A01 and set EXPECTED_VOTES=1 DISK_QUORUM=””</t>
  </si>
  <si>
    <t>TU01</t>
  </si>
  <si>
    <t>Monday Tab</t>
  </si>
  <si>
    <t>Tuesday Tab</t>
  </si>
  <si>
    <t>Wednesday Tab</t>
  </si>
  <si>
    <t>Friday Tab</t>
  </si>
  <si>
    <t>Wednesday After Successful Backup</t>
  </si>
  <si>
    <t>F21</t>
  </si>
  <si>
    <t>Contact</t>
  </si>
  <si>
    <t>Telephone</t>
  </si>
  <si>
    <t>E-Mail</t>
  </si>
  <si>
    <t>Notify ANR of downtime</t>
  </si>
  <si>
    <t>At Least One Week Following Database Move</t>
  </si>
  <si>
    <t>F09</t>
  </si>
  <si>
    <t>F10</t>
  </si>
  <si>
    <t xml:space="preserve">Verify with the site that the current production database is operating as expected.  </t>
  </si>
  <si>
    <t>Tuesday After Successful Backup</t>
  </si>
  <si>
    <t>No.</t>
  </si>
  <si>
    <t>Task Description</t>
  </si>
  <si>
    <t>Reference</t>
  </si>
  <si>
    <t>Doc.</t>
  </si>
  <si>
    <t>Section</t>
  </si>
  <si>
    <t>Site</t>
  </si>
  <si>
    <t>HP-FE work</t>
  </si>
  <si>
    <t>Steps not applicable to Sheridan Conversion</t>
  </si>
  <si>
    <t xml:space="preserve"> </t>
  </si>
  <si>
    <t>Separator - used to separate periods of multi-tasking</t>
  </si>
  <si>
    <t>Section of timeline initiated by fixed time</t>
  </si>
  <si>
    <t>Section of timeline initiated by dependent time</t>
  </si>
  <si>
    <t>3-digit estimated time (in minutes)</t>
  </si>
  <si>
    <t>Modification since Sheridan</t>
  </si>
  <si>
    <t>SYSTEM DISK CUSTOMIZATION CHECKLIST</t>
  </si>
  <si>
    <t>4100 / HSZ50</t>
  </si>
  <si>
    <t>1. Create a single member mirror called XXXSYS on the HSZ50</t>
  </si>
  <si>
    <t>2. Create unit D100 using mirror XXXSYS</t>
  </si>
  <si>
    <t>3. Make a copy of the system disk from the master to the new disk you created using VMS backup</t>
  </si>
  <si>
    <t>4. Conversationally boot A01 and set EXPECTED_VOTES=1 DISK_QUORUM=””</t>
  </si>
  <si>
    <t xml:space="preserve">5. Mount the Conversion Disk which should be unit D406 on the HSZ50 </t>
  </si>
  <si>
    <t>6. Install latest VMS patches and shutdown</t>
  </si>
  <si>
    <t>7. Boot A01  using os_flags 0,0</t>
  </si>
  <si>
    <t>8. Change Cluster Group number</t>
  </si>
  <si>
    <t xml:space="preserve">9. Edit MODPARAMS.DAT for all three systems - A01_____   A02_____   A03_____ </t>
  </si>
  <si>
    <t>10. Run @SYS$STARTUP:TCPIP$CONFIG and exit</t>
  </si>
  <si>
    <t>11. Clear Local Host file</t>
  </si>
  <si>
    <t>12. Set up Local Host</t>
  </si>
  <si>
    <t>13. Set up new hosts</t>
  </si>
  <si>
    <t>14. Set up NCP node database</t>
  </si>
  <si>
    <t>15. Check LAT$SYSTARTUP.COM</t>
  </si>
  <si>
    <t>F14</t>
  </si>
  <si>
    <t>66. Run @SYS$MANAGER:LAT$STARTUP.COM</t>
  </si>
  <si>
    <t>67. Test functionality</t>
  </si>
  <si>
    <t>68. Disable startup from running by MC SYSMAN DISABLE FILE *</t>
  </si>
  <si>
    <t>69. Make copies of the SYSTEM and CONVERSION disks</t>
  </si>
  <si>
    <t>USER DISK SETUP FOR CONVERSION</t>
  </si>
  <si>
    <t>1. Verify all members of the cluster are booted normally</t>
  </si>
  <si>
    <t>2. Create a mirror set on the HSZ50 for the site called xxxUSER</t>
  </si>
  <si>
    <t>Open bridge with medical center staff at 7:00am so staff can get immediate help from transition team if problems are found at the start of the production week.</t>
  </si>
  <si>
    <t>F11</t>
  </si>
  <si>
    <t>F12</t>
  </si>
  <si>
    <t>F06</t>
  </si>
  <si>
    <t>Run database comparisions the Local VAMC's Production configuration and the RDPC "Shadow" configuration.</t>
  </si>
  <si>
    <t>56. Delete TCPIP interface WEA0 if it exists</t>
  </si>
  <si>
    <t>57. Modify DIAG system information</t>
  </si>
  <si>
    <t>58. Delete current error log</t>
  </si>
  <si>
    <t>3. Create unit D200 on the HSZ50 from xxxUSER</t>
  </si>
  <si>
    <t>4. Log into A01 as SYSTEM</t>
  </si>
  <si>
    <t xml:space="preserve">5. Run MC SYSMAN and SET ENV/CLUSTER and IO AUTO/LOG </t>
  </si>
  <si>
    <t xml:space="preserve">6. Mount the Conversion Disk /CLUSTER which should be $1$DKA406  </t>
  </si>
  <si>
    <t>7. Run @COMPAQ$:[COMPAQ.CONV]SITE_INIT_MOUNT_CREATE_USER.COM</t>
  </si>
  <si>
    <t>8. Copy the site’s CACHE.CPF to COMPAQ$:[COMPAQ.CONV.CPF]xxxCACHE.CPF</t>
  </si>
  <si>
    <t>9. Prepare xxxA01.CPF and xxxA02.CPF and save in COMPAQ$:[COMPAQ.CONV.CPF]</t>
  </si>
  <si>
    <t>10. Install Cache for License Configuration on A01</t>
  </si>
  <si>
    <t>11. Install Cache for Prodution Configuration on A01</t>
  </si>
  <si>
    <t>12. Logout of A01</t>
  </si>
  <si>
    <t>13. Log into A02 as SYSTEM</t>
  </si>
  <si>
    <t>14. Install Cache for License Configuration on A02</t>
  </si>
  <si>
    <t>15. Install Cache for Prodution Configuration on A02</t>
  </si>
  <si>
    <t>16. Set maximum sizes for database files</t>
  </si>
  <si>
    <t>59. Run @SYS$MANAGER:SWCC_CONFIG</t>
  </si>
  <si>
    <t xml:space="preserve">60. Mount the Conversion Disk which should be unit D406 on the HSZ50 </t>
  </si>
  <si>
    <t>61. Set default to COMPAQ$:[COMPAQ.CONV] and run @CREATE_SYSMAN.COM</t>
  </si>
  <si>
    <t>62. Run @SYS$UPDATE:AUTOGEN with shutdown</t>
  </si>
  <si>
    <t>X01</t>
  </si>
  <si>
    <t>X02</t>
  </si>
  <si>
    <t>Announce print queue and dev file change freeze @T-1 week</t>
  </si>
  <si>
    <t>Cell Phone</t>
  </si>
  <si>
    <t>45. Run SYS$MANAGER:TCPIP$CONFIG to configure TCPIP and then start TCPIP</t>
  </si>
  <si>
    <t>46. Delete TCPIP interface WEA0 if it exists</t>
  </si>
  <si>
    <t>47. Modify DIAG system information</t>
  </si>
  <si>
    <t>48. Delete current error log</t>
  </si>
  <si>
    <t>49. Run @SYS$MANAGER:SWCC_CONFIG</t>
  </si>
  <si>
    <t>50. Run @SYS$UPDATE:AUTOGEN with shutdown</t>
  </si>
  <si>
    <t>51. Conversationally boot A03 and set EXPECTED_VOTES=1 DISK_QUORUM=””</t>
  </si>
  <si>
    <t>52. Run @SYS$MANAGER:NETCONFIG and start DECNET</t>
  </si>
  <si>
    <t>53. Define costs on EWA-x circuits</t>
  </si>
  <si>
    <t>54. Set default SYS$MANAGER and run @UTC$TIME_SETUP</t>
  </si>
  <si>
    <t>55. Run SYS$MANAGER:TCPIP$CONFIG to configure TCPIP and then start TCPIP</t>
  </si>
  <si>
    <t>22. Customize STARTUP$HSZ_MOUNT.COM</t>
  </si>
  <si>
    <t>23. Edit VISTA_CLUSTER.DAT</t>
  </si>
  <si>
    <t>24. Define Default Form</t>
  </si>
  <si>
    <r>
      <t>Very Important Step!</t>
    </r>
    <r>
      <rPr>
        <sz val="9"/>
        <rFont val="Arial"/>
        <family val="2"/>
      </rPr>
      <t xml:space="preserve">
Verify that all production cache datasets are being journaled and backed up to tape.
Ensure that local staff understand that they are not to turn journaling off for the install of any patch for any reason after the final backup to tape is created.  For shadowing to work back to the medical center, this change must remain in effect </t>
    </r>
    <r>
      <rPr>
        <b/>
        <i/>
        <sz val="9"/>
        <color indexed="10"/>
        <rFont val="Arial"/>
        <family val="2"/>
      </rPr>
      <t>PERMANENTLY.</t>
    </r>
  </si>
  <si>
    <t>Sunday Tab</t>
  </si>
  <si>
    <t>Post Monday Tab</t>
  </si>
  <si>
    <t>&gt;1 Week Post Tab</t>
  </si>
  <si>
    <t>Announce .CPF file change freeze @ T-2 weeks</t>
  </si>
  <si>
    <t>2.6</t>
  </si>
  <si>
    <t>Prep Tab</t>
  </si>
  <si>
    <t>Friday Prior to Final Move</t>
  </si>
  <si>
    <t>Sunday Post-Production Move</t>
  </si>
  <si>
    <t>Monday (Post-Production Move, Remote)</t>
  </si>
  <si>
    <t>Review the Saturday Tasks and modify as appropriate based on the decision and/or any additional information that has been gathered from the site, VISN, HSITES, and HP.</t>
  </si>
  <si>
    <t xml:space="preserve">63. Boot A01 normally </t>
  </si>
  <si>
    <t>64. Boot A02 normally</t>
  </si>
  <si>
    <t>65. Boot A03 normally</t>
  </si>
  <si>
    <t>16. Check dump file size</t>
  </si>
  <si>
    <t>Review all pending/outstanding issues with the site and assign staff to work on them until resolved.</t>
  </si>
  <si>
    <t xml:space="preserve">30. Mount the Conversion Disk which should be unit D406 on the HSZ50 </t>
  </si>
  <si>
    <t>31. Set def COMPAQ$:[COMPAQ.CONV] and run @SYS_DEVICES.COM</t>
  </si>
  <si>
    <t>32. Run @SYS$MANAGER:NETCONFIG and start DECNET</t>
  </si>
  <si>
    <t>33. Define costs on EWA-x circuits</t>
  </si>
  <si>
    <t>34. Set default SYS$MANAGER and run @UTC$TIME_SETUP</t>
  </si>
  <si>
    <t>35. Run SYS$MANAGER:TCPIP$CONFIG to configure TCPIP and then start TCPIP</t>
  </si>
  <si>
    <t>38. Delete current error log</t>
  </si>
  <si>
    <t>39. Run @SYS$MANAGER:SWCC_CONFIG</t>
  </si>
  <si>
    <t>40. Run @SYS$UPDATE:AUTOGEN with shutdown</t>
  </si>
  <si>
    <t>41. Conversationally boot A02 and set EXPECTED_VOTES=1 DISK_QUORUM=””</t>
  </si>
  <si>
    <t>42. Run @SYS$MANAGER:NETCONFIG and start DECNET</t>
  </si>
  <si>
    <t>43. Define costs on EWA-x circuits</t>
  </si>
  <si>
    <t>44. Set default SYS$MANAGER and run @UTC$TIME_SETUP</t>
  </si>
  <si>
    <t>17. Logout of A02</t>
  </si>
  <si>
    <t>18. Log into A03</t>
  </si>
  <si>
    <t>19. Install Cache for License Configuration on A03</t>
  </si>
  <si>
    <t>19. Install Cache for Test Configuration on A03</t>
  </si>
  <si>
    <t>20. Logout A03</t>
  </si>
  <si>
    <t>F19</t>
  </si>
  <si>
    <t>21. Make a copy of the USER disk</t>
  </si>
  <si>
    <t>Verify backup and integrity checks</t>
  </si>
  <si>
    <t>Completion Status</t>
  </si>
  <si>
    <t>Announce global translation freeze @T-2 weeks</t>
  </si>
  <si>
    <t>Check Error Trap</t>
  </si>
  <si>
    <t>Check Imaging</t>
  </si>
  <si>
    <t>Check Class III code for references to any IP address, default cache configuration, or HFS device.
   Post results to site's share folder</t>
  </si>
  <si>
    <t>F16</t>
  </si>
  <si>
    <t>F18</t>
  </si>
  <si>
    <t>only pq$ is needed. Add to short list</t>
  </si>
  <si>
    <t>Validate shortcuts to desktops for the functionality of VistA Read Only Contingency System</t>
  </si>
  <si>
    <t>Assigned to</t>
  </si>
  <si>
    <t>Comments for master list</t>
  </si>
  <si>
    <t xml:space="preserve">New printers to be Telnet, not LPD.
Run the ^NVSMKPRN routine to convert existing LPD printers to Telnet wherever possible.
</t>
  </si>
  <si>
    <t>TNA devices need to be converted to Network Channels</t>
  </si>
  <si>
    <t>Task XU SID STARTUP to run at startup. (SET TO STARTUP PERSISTANT)</t>
  </si>
  <si>
    <t>VMS to RHEL Linux 6.1 Migration Cookbook</t>
  </si>
  <si>
    <t>2.2</t>
  </si>
  <si>
    <t>2.3.1</t>
  </si>
  <si>
    <t>2.7</t>
  </si>
  <si>
    <t>2.8</t>
  </si>
  <si>
    <r>
      <t>Identify Site Specific VMS Directories, Files, and Disks</t>
    </r>
    <r>
      <rPr>
        <b/>
        <sz val="9"/>
        <rFont val="Times New Roman"/>
        <family val="1"/>
      </rPr>
      <t> </t>
    </r>
    <r>
      <rPr>
        <sz val="9"/>
        <rFont val="Arial"/>
        <family val="2"/>
      </rPr>
      <t>in order to create the Linux equivalent directories</t>
    </r>
    <r>
      <rPr>
        <b/>
        <sz val="9"/>
        <rFont val="Arial"/>
        <family val="2"/>
      </rPr>
      <t xml:space="preserve"> </t>
    </r>
  </si>
  <si>
    <r>
      <t xml:space="preserve">Validate that the $I field of all device file entries at the </t>
    </r>
    <r>
      <rPr>
        <b/>
        <sz val="9"/>
        <rFont val="Arial"/>
        <family val="2"/>
      </rPr>
      <t>LOCAL VAMC</t>
    </r>
    <r>
      <rPr>
        <sz val="9"/>
        <rFont val="Arial"/>
        <family val="2"/>
      </rPr>
      <t xml:space="preserve">  currently point to PQ$ or to the  </t>
    </r>
    <r>
      <rPr>
        <i/>
        <sz val="9"/>
        <color rgb="FFFF0000"/>
        <rFont val="Arial"/>
        <family val="2"/>
      </rPr>
      <t>scd</t>
    </r>
    <r>
      <rPr>
        <b/>
        <sz val="9"/>
        <color indexed="12"/>
        <rFont val="Arial"/>
        <family val="2"/>
      </rPr>
      <t>_PQ$</t>
    </r>
    <r>
      <rPr>
        <sz val="9"/>
        <rFont val="Arial"/>
        <family val="2"/>
      </rPr>
      <t xml:space="preserve"> logical </t>
    </r>
  </si>
  <si>
    <t>site to go into capacity management and enter scheduled down time so the VistA Monitor alerts don’t get sent</t>
  </si>
  <si>
    <t>2.3.2</t>
  </si>
  <si>
    <t>Make final determination of site support team membership.  Update NDC Info tab</t>
  </si>
  <si>
    <t>Info Page (NDC)</t>
  </si>
  <si>
    <t>OnSite or Remote</t>
  </si>
  <si>
    <t>Confirm travel dates and destinations for all on site team members.</t>
  </si>
  <si>
    <t>contact ISC and Red Hat for support on the migration weekend</t>
  </si>
  <si>
    <t>2.9.1</t>
  </si>
  <si>
    <t>VMS sites must have a scd_PQ$ or  PQ$ logical defined and used in the device table $I (need to create a short list AI to do this?)</t>
  </si>
  <si>
    <t>Delete Routine NVSN2V2 - this is an NT to VMS conversion tool and would cause problems if used in the Linux environment</t>
  </si>
  <si>
    <t>Need to review because of Linux requirements;
Test network channel conversions for first 6 VMS sites; 
Add to IDC readiness dashboard</t>
  </si>
  <si>
    <t>how to prep VMS sites for Linux</t>
  </si>
  <si>
    <t xml:space="preserve">obtain sign-off from the site FCIO on "testing_Approval_Endorsement" document </t>
  </si>
  <si>
    <t>Comments</t>
  </si>
  <si>
    <t>Open bridge with medical center staff for post move day 10:00am</t>
  </si>
  <si>
    <t>Monday</t>
  </si>
  <si>
    <t>check if journaling Taskman</t>
  </si>
  <si>
    <t xml:space="preserve">do compares to validate no discrepancies </t>
  </si>
  <si>
    <t>Run database comparisions the Local VAMC's Production configuration and the NDC "Shadow" configuration.</t>
  </si>
  <si>
    <t xml:space="preserve">make sure WAN pipe has not been throttled back for any data transfers </t>
  </si>
  <si>
    <t>Announce routine/patch freeze @ T-1 week (Unless it's a Linux OS patch, freeze for at least one week after migration) - freeze patching 1 week before and 1 week after</t>
  </si>
  <si>
    <t>Check error trap, SYSLOG, Cconsole.log</t>
  </si>
  <si>
    <t>check that CDW has responded and has identified who will be on the call if not then someone needs to contact them again</t>
  </si>
  <si>
    <t>Make sure the FTP client is installed for physical transfers for KPAS etc.</t>
  </si>
  <si>
    <t>create live meeting for sharing info on migration weekend (Fri through Wed) with a separate number for site bridge,  technical bridge, and technical "show and tell" bridge</t>
  </si>
  <si>
    <t>Check to make sure SAGG is not going to run on Saturday.</t>
  </si>
  <si>
    <t>Review and verify the health of the VistA-RO shadow</t>
  </si>
  <si>
    <t>Review and verify the health of the the DR shadow.</t>
  </si>
  <si>
    <t>Identify Linux and Cache Cube Users
Verify users do not have a namespace</t>
  </si>
  <si>
    <r>
      <rPr>
        <b/>
        <sz val="9"/>
        <color rgb="FFFF0000"/>
        <rFont val="Arial"/>
        <family val="2"/>
      </rPr>
      <t>Verify that the site has a detailed plan for updating all interconnected system links to VistA when the IP address of VistA changes</t>
    </r>
    <r>
      <rPr>
        <sz val="9"/>
        <rFont val="Arial"/>
        <family val="2"/>
      </rPr>
      <t xml:space="preserve"> on migration day.  These plans should describe how you update the IP address and/or restart an interface if/when VistA's IP address changes.  
Make sure that specific staff members that are assigned to the interconnected systems must be available during the day of migration.
Make sure that specific staff members that are assigned to update each interface that requires intervention on cutover day and that they understand what is required (including vendor contact information and service SME contact information).</t>
    </r>
  </si>
  <si>
    <t>VMS sites update the device file
The $I needs to have the format PQ$:scd_queuename.TXT
 Linux print queues will be created using convert routines on the Linux test environment for each site to thouroughly test their printers 
Linux printers will begin with the three (3) letter site code and an underscore ( _ ). In addition, it has been determined that the $PRT suffix is no longer necessary</t>
  </si>
  <si>
    <r>
      <rPr>
        <b/>
        <sz val="9"/>
        <color rgb="FFFF0000"/>
        <rFont val="Arial"/>
        <family val="2"/>
      </rPr>
      <t>All</t>
    </r>
    <r>
      <rPr>
        <sz val="9"/>
        <color indexed="8"/>
        <rFont val="Arial"/>
        <family val="2"/>
      </rPr>
      <t xml:space="preserve"> sites needs to insure TCPIP IP addresses  and ports are in production device file so the conversion routines will work</t>
    </r>
  </si>
  <si>
    <t>Do all VMS sites have the xxx_SPL$ logical?
Should have been completed with TCPIP common services.
Does the Device file conversion routine  translate this when converting the device table? 
Has this been tested and confirmed?</t>
  </si>
  <si>
    <t>get pointer to the Hines download site for the VSSM package uninstall routine - install in test, test it, and then install in production and uninstall VSSM</t>
  </si>
  <si>
    <t>What Shadows does the site have? VistA-RO &amp; CDW, any others?</t>
  </si>
  <si>
    <t>confirm that the convert VMS printer routines can make distinction between telnet and LPD and create CUPS       
Do we still require or recommend that sites use Telnet vs. LPD?
Conversion will be Done on day of Migration but should be run and tested in the Linux test environment provided.
Possible problem with the NVSMKPRN Routine?
No longer required routine as been test and validate in Columbus</t>
  </si>
  <si>
    <t>collapse would be Done the week of migration, expand would be Monday after migration.
ZTSHARE AND XSHARE will be completed on day of</t>
  </si>
  <si>
    <t>Done from RDP scripts when cache install is Done</t>
  </si>
  <si>
    <t xml:space="preserve">After the VRO is reconfigured for the new disk locations: (and probably after it is caught up)
On the VRO, run D ^NVSAUTOG1 so that the automatic compare jobs get the new shadow/disk mappings.
Does not need to be done on the DR, as it is already mapping/shadowing to the new disk locations when it was set up.
</t>
  </si>
  <si>
    <t>check audio care physical access , get CPF file, build  new CPF file and DB mapping for CDW</t>
  </si>
  <si>
    <t xml:space="preserve">Verify siteinfo.conf file has the correct timezone  </t>
  </si>
  <si>
    <r>
      <t xml:space="preserve">Need to check the rou directory for files that are getting created in the wrong location.
</t>
    </r>
    <r>
      <rPr>
        <sz val="9"/>
        <color theme="3" tint="-0.249977111117893"/>
        <rFont val="Arial"/>
        <family val="2"/>
      </rPr>
      <t>ls -alh /srv/vista/&lt;scd&gt;/dat1/rou</t>
    </r>
  </si>
  <si>
    <t>Thursday is normal travel day - tasks moved to Wed &amp; Fri</t>
  </si>
  <si>
    <r>
      <t xml:space="preserve">Set the Linux Load Broker to update the DNS with new IP addresses and </t>
    </r>
    <r>
      <rPr>
        <b/>
        <i/>
        <sz val="9"/>
        <color indexed="10"/>
        <rFont val="Arial"/>
        <family val="2"/>
      </rPr>
      <t>do not start the service; it will be started on day of</t>
    </r>
    <r>
      <rPr>
        <b/>
        <sz val="9"/>
        <rFont val="Arial"/>
        <family val="2"/>
      </rPr>
      <t xml:space="preserve">
Primary Domain Controller ip address
Backup Domain Controller ip address</t>
    </r>
  </si>
  <si>
    <t>Review the site specific startup and shutdown procedures, review ZSTUsite and make a note of any new changes or unusual steps that might be impacted by the move.</t>
  </si>
  <si>
    <r>
      <t xml:space="preserve">Test HL7 transmissions from another station to the VAMC: Do both port 5000 and 5001
From the HL7 Main Menu, select the Filer and Link Management option, then use the </t>
    </r>
    <r>
      <rPr>
        <b/>
        <sz val="9"/>
        <rFont val="Arial"/>
        <family val="2"/>
      </rPr>
      <t>Ping (TCP Only)</t>
    </r>
    <r>
      <rPr>
        <sz val="9"/>
        <rFont val="Arial"/>
        <family val="2"/>
      </rPr>
      <t xml:space="preserve"> option.</t>
    </r>
  </si>
  <si>
    <t>Verify that the Pharmacy ADPAC and IRM support staff have spoken with the vendor(s) about updating any server or workstation on cutover day.</t>
  </si>
  <si>
    <t>Verify that the Radiology ADPAC and IRM support staff have spoken with the  vendor about updating their server on cutover day.</t>
  </si>
  <si>
    <t>Broken out plan on spreadsheet and Staff Identified</t>
  </si>
  <si>
    <t>M01</t>
  </si>
  <si>
    <t>M02</t>
  </si>
  <si>
    <t>M03</t>
  </si>
  <si>
    <t>M04</t>
  </si>
  <si>
    <t>TEAM</t>
  </si>
  <si>
    <t>W01</t>
  </si>
  <si>
    <t>W02</t>
  </si>
  <si>
    <t>F02</t>
  </si>
  <si>
    <t>F03</t>
  </si>
  <si>
    <t>F07</t>
  </si>
  <si>
    <t>F08</t>
  </si>
  <si>
    <t>F15</t>
  </si>
  <si>
    <t>F17</t>
  </si>
  <si>
    <t>F22</t>
  </si>
  <si>
    <t>F23</t>
  </si>
  <si>
    <t>F24</t>
  </si>
  <si>
    <t>F25</t>
  </si>
  <si>
    <t>F26</t>
  </si>
  <si>
    <t>F27</t>
  </si>
  <si>
    <t>F29</t>
  </si>
  <si>
    <t>F30</t>
  </si>
  <si>
    <t>F31</t>
  </si>
  <si>
    <t>F32</t>
  </si>
  <si>
    <t>F33</t>
  </si>
  <si>
    <t>check with site</t>
  </si>
  <si>
    <r>
      <t xml:space="preserve">do file of files on production 1 hour before leaving site on Fri.   </t>
    </r>
    <r>
      <rPr>
        <sz val="9"/>
        <color rgb="FFFF0000"/>
        <rFont val="Arial"/>
        <family val="2"/>
      </rPr>
      <t xml:space="preserve"> D FOF^NVSIDCCMP</t>
    </r>
  </si>
  <si>
    <t>VistA-RO</t>
  </si>
  <si>
    <t>Before DB Move</t>
  </si>
  <si>
    <t>GO to DB move tab</t>
  </si>
  <si>
    <t>Site Preparation Tab</t>
  </si>
  <si>
    <t>Notifications</t>
  </si>
  <si>
    <t>Timetable, Site Info, System Access, Testing Completed, Logistics</t>
  </si>
  <si>
    <t>Log a National Help Desk ticket for Vitria Interface Engine team to coordinate and/or assist with the failover of the VIE during downtime.</t>
  </si>
  <si>
    <t>Early Site System Prep</t>
  </si>
  <si>
    <t>Device Prep</t>
  </si>
  <si>
    <t>DNS, Network Prep</t>
  </si>
  <si>
    <t>Interconnected Systems</t>
  </si>
  <si>
    <t>Class III Remediation</t>
  </si>
  <si>
    <r>
      <t xml:space="preserve">Work with site to </t>
    </r>
    <r>
      <rPr>
        <b/>
        <u/>
        <sz val="9"/>
        <rFont val="Arial"/>
        <family val="2"/>
      </rPr>
      <t>comprehensively review taskman scheduled jobs</t>
    </r>
    <r>
      <rPr>
        <sz val="9"/>
        <rFont val="Arial"/>
        <family val="2"/>
      </rPr>
      <t>. 
Remove old jobs that are re-queueing themselves that are not needed.
Run a fileman printout on the task file to determine if jobs are way into the future and then delete those jobs.</t>
    </r>
  </si>
  <si>
    <t xml:space="preserve">Determine if LEDI and Ralsplus/Abbott/Sybase/Pweb changes must be made by Vendor vs VA. </t>
  </si>
  <si>
    <t>Make sure ScriptPro resource is available.</t>
  </si>
  <si>
    <t>DB Move</t>
  </si>
  <si>
    <t>SP01</t>
  </si>
  <si>
    <t>SP02</t>
  </si>
  <si>
    <t>SP03</t>
  </si>
  <si>
    <t>SP04</t>
  </si>
  <si>
    <t>SP05</t>
  </si>
  <si>
    <t>SP06</t>
  </si>
  <si>
    <t>SP07</t>
  </si>
  <si>
    <t>SP08</t>
  </si>
  <si>
    <t>SP09</t>
  </si>
  <si>
    <t>SP10</t>
  </si>
  <si>
    <t>SP11</t>
  </si>
  <si>
    <t>SP12</t>
  </si>
  <si>
    <t>SP13</t>
  </si>
  <si>
    <t>SP14</t>
  </si>
  <si>
    <t>SP15</t>
  </si>
  <si>
    <t>SP27</t>
  </si>
  <si>
    <t>SP28</t>
  </si>
  <si>
    <t>SP29</t>
  </si>
  <si>
    <t>SP31</t>
  </si>
  <si>
    <t>SP32</t>
  </si>
  <si>
    <t>SP33</t>
  </si>
  <si>
    <t>SP34</t>
  </si>
  <si>
    <t>SP35</t>
  </si>
  <si>
    <t>SP36</t>
  </si>
  <si>
    <t>SP38</t>
  </si>
  <si>
    <t>SP39</t>
  </si>
  <si>
    <t>SP40</t>
  </si>
  <si>
    <t>SP41</t>
  </si>
  <si>
    <t>SP42</t>
  </si>
  <si>
    <t>SP44</t>
  </si>
  <si>
    <t>SP45</t>
  </si>
  <si>
    <t>SP46</t>
  </si>
  <si>
    <t>SP48</t>
  </si>
  <si>
    <t>SP49</t>
  </si>
  <si>
    <t>SP50</t>
  </si>
  <si>
    <t>SP51</t>
  </si>
  <si>
    <t>SP52</t>
  </si>
  <si>
    <t>SP54</t>
  </si>
  <si>
    <t>SP55</t>
  </si>
  <si>
    <t>DP01</t>
  </si>
  <si>
    <t>DP02</t>
  </si>
  <si>
    <t>DP03</t>
  </si>
  <si>
    <t>DP04</t>
  </si>
  <si>
    <t>DP05</t>
  </si>
  <si>
    <t>DP06</t>
  </si>
  <si>
    <t>DP07</t>
  </si>
  <si>
    <t>DP08</t>
  </si>
  <si>
    <t>DP09</t>
  </si>
  <si>
    <t>DP10</t>
  </si>
  <si>
    <t>DP11</t>
  </si>
  <si>
    <t>DP12</t>
  </si>
  <si>
    <t>DP13</t>
  </si>
  <si>
    <t>DP14</t>
  </si>
  <si>
    <t>DP15</t>
  </si>
  <si>
    <t>DP16</t>
  </si>
  <si>
    <t>Load the current version of the Database Comparison Utilities into the Local VAMC instance.</t>
  </si>
  <si>
    <t>can use a check of OS before chosing to write to a VMS directory or a Linux directory
or remediate code in test and after testing $RO to be $RI on day of</t>
  </si>
  <si>
    <t xml:space="preserve"> Application support  check and remediate all COTS etc. to use the FQDN not a hardcoded IP, record any interconnection that must be a hardcoded IP, such as imaging.</t>
  </si>
  <si>
    <r>
      <t xml:space="preserve">Verify VMS system logical exists in the format of </t>
    </r>
    <r>
      <rPr>
        <b/>
        <sz val="9"/>
        <color indexed="12"/>
        <rFont val="Arial"/>
        <family val="2"/>
      </rPr>
      <t>xxx_PQ$</t>
    </r>
    <r>
      <rPr>
        <sz val="9"/>
        <rFont val="Arial"/>
        <family val="2"/>
      </rPr>
      <t xml:space="preserve"> at the </t>
    </r>
    <r>
      <rPr>
        <b/>
        <sz val="9"/>
        <rFont val="Arial"/>
        <family val="2"/>
      </rPr>
      <t>LOCAL VAMC</t>
    </r>
    <r>
      <rPr>
        <sz val="9"/>
        <rFont val="Arial"/>
        <family val="2"/>
      </rPr>
      <t xml:space="preserve"> that points to the same device and directory as PQ$
Remember to add the new logical to:
SYS$:[VMS$COMMON.SYSMGR]STARTUP$LOGICALS.COM
or -- if your site ever considered high availability --
HA$STARTUP:STARTUP$LOGICALS.COM</t>
    </r>
  </si>
  <si>
    <r>
      <t xml:space="preserve">Add a VMS system logical in the format of </t>
    </r>
    <r>
      <rPr>
        <b/>
        <sz val="9"/>
        <color indexed="12"/>
        <rFont val="Arial"/>
        <family val="2"/>
      </rPr>
      <t>xxx_SPL$</t>
    </r>
    <r>
      <rPr>
        <sz val="9"/>
        <rFont val="Arial"/>
        <family val="2"/>
      </rPr>
      <t xml:space="preserve"> at the </t>
    </r>
    <r>
      <rPr>
        <b/>
        <sz val="9"/>
        <rFont val="Arial"/>
        <family val="2"/>
      </rPr>
      <t>LOCAL VAMC</t>
    </r>
    <r>
      <rPr>
        <sz val="9"/>
        <rFont val="Arial"/>
        <family val="2"/>
      </rPr>
      <t xml:space="preserve"> that point to USER$ (or it’s disk reference).
$ define/sys/exec xxx_spl$ $1$dgaxxx: /trans=(conceal,term)
SYS$:[VMS$COMMON.SYSMGR]STARTUP$LOGICALS.COM
Or, if your site has ever considered high availability HA$STARTUP:STARTUP$LOGICALS.COM</t>
    </r>
  </si>
  <si>
    <t>D01</t>
  </si>
  <si>
    <t>D02</t>
  </si>
  <si>
    <t>D03</t>
  </si>
  <si>
    <t>D04</t>
  </si>
  <si>
    <t>D05</t>
  </si>
  <si>
    <t>D06</t>
  </si>
  <si>
    <t>D07</t>
  </si>
  <si>
    <t>D08</t>
  </si>
  <si>
    <t>D10</t>
  </si>
  <si>
    <t>DP17</t>
  </si>
  <si>
    <t>Export User from Test account and import using cache.cpf</t>
  </si>
  <si>
    <t xml:space="preserve">date: 
time: 
timezone: </t>
  </si>
  <si>
    <t xml:space="preserve">after backup, date: </t>
  </si>
  <si>
    <t xml:space="preserve">Have site check links to Vista Patient Funds and others shown below to make sure it worked before the day of migration.
Blind Rehab:
https://vaww.blindrehab.med.va.gov
The PATS (Patient Advocate Tracking System)
http://vaww.pats.med.va.gov
Vista Patient Funds:
Vaww.vpfs.med.va.gov
Put in anything in the access/verify then pick the site.  If it returns that you the access/verify is not valid, the link worked.  If it returns the message below it is not working:
There was a login error detected by the login system:
Error processing login credentials: Could not get a connection from connector pool for institution '666'.; Root cause exception: gov.va.med.vistalink.adapter.cci.VistaLinkResourceException: Can not create VistaSocketConnection; Root cause exception: gov.va.med.net.VistaSocketException: Can not create TCP/IP socket.; Root cause exception: java.net.ConnectException: Connection refused
</t>
  </si>
  <si>
    <r>
      <t xml:space="preserve">See </t>
    </r>
    <r>
      <rPr>
        <b/>
        <i/>
        <sz val="10"/>
        <rFont val="Arial"/>
        <family val="2"/>
      </rPr>
      <t>Master_for_Day_of_Migration</t>
    </r>
    <r>
      <rPr>
        <sz val="10"/>
        <rFont val="Arial"/>
        <family val="2"/>
      </rPr>
      <t xml:space="preserve"> Document for Saturday</t>
    </r>
  </si>
  <si>
    <t>2.11</t>
  </si>
  <si>
    <r>
      <t xml:space="preserve">does the site need to change all queue names to be </t>
    </r>
    <r>
      <rPr>
        <b/>
        <i/>
        <sz val="9"/>
        <color rgb="FFFF0000"/>
        <rFont val="Arial"/>
        <family val="2"/>
      </rPr>
      <t>scd</t>
    </r>
    <r>
      <rPr>
        <b/>
        <sz val="9"/>
        <rFont val="Arial"/>
        <family val="2"/>
      </rPr>
      <t xml:space="preserve">_PRINTERNAME in their current VMS environment?
Steve to create look only version of routine; recommend for short list remediation
CUPS printers will be created from $I
</t>
    </r>
  </si>
  <si>
    <t>Notifications Tab</t>
  </si>
  <si>
    <t>N01</t>
  </si>
  <si>
    <t>N02</t>
  </si>
  <si>
    <t>N03</t>
  </si>
  <si>
    <t>N04</t>
  </si>
  <si>
    <t>N05</t>
  </si>
  <si>
    <t>N06</t>
  </si>
  <si>
    <t>N07</t>
  </si>
  <si>
    <t>N08</t>
  </si>
  <si>
    <t>N09</t>
  </si>
  <si>
    <t>N10</t>
  </si>
  <si>
    <t>N11</t>
  </si>
  <si>
    <t>N12</t>
  </si>
  <si>
    <t>N13</t>
  </si>
  <si>
    <t>N14</t>
  </si>
  <si>
    <r>
      <t xml:space="preserve">Modify all Devices in the device file whose $I value contains USER$ to reference the </t>
    </r>
    <r>
      <rPr>
        <b/>
        <sz val="9"/>
        <color indexed="12"/>
        <rFont val="Arial"/>
        <family val="2"/>
      </rPr>
      <t>xxx_SPL$</t>
    </r>
    <r>
      <rPr>
        <sz val="9"/>
        <rFont val="Arial"/>
        <family val="2"/>
      </rPr>
      <t xml:space="preserve"> logical and verify that it all continues to function.</t>
    </r>
  </si>
  <si>
    <t>F01</t>
  </si>
  <si>
    <t>On VMS Cluster, Set System PW to agreed PW so Migration team will have access.</t>
  </si>
  <si>
    <t xml:space="preserve">Verify the site's patch INSTALL file to make sure no patches have been installed since the no patch date.
Document any patches that went in since the beginning of this week.
Example:
VAH&gt;S DUZ=.5 D P^DI
Select OPTION: PRINT FILE ENTRIES  
OUTPUT FROM WHAT FILE: INSTALL// 9.7  INSTALL  (7551 entries)
SORT BY: NAME// 17  INSTALL COMPLETE TIME
START WITH INSTALL COMPLETE TIME: FIRST// T-5  (MAR 12, 2007)
GO TO INSTALL COMPLETE TIME: LAST// T  (MAR 17, 2007)
  WITHIN INSTALL COMPLETE TIME, SORT BY: 
FIRST PRINT FIELD: .01  NAME
THEN PRINT FIELD: 17  INSTALL COMPLETE TIME
THEN PRINT FIELD: 9 COMPLETED BY 
Heading (S/C): INSTALL LIST// 
START AT PAGE: 1// 
DEVICE:   IRM    Right Margin: 80// 
 .
INSTALL LIST                                   MAR 17,2007  11:14    PAGE 1
NAME                                                INSTALL COMPLETE TIME
--------------------------------------------------------------------------------
DG*5.3*747                                          MAR 14,2007  16:05
NOTE: Write up patch explanation document for recommendations - if 30 day compliance and you are going to migrate in the next 30 days then do it right away - must be careful around the week before and the week after migration.
</t>
  </si>
  <si>
    <t>HSP</t>
  </si>
  <si>
    <t>Validate the Mailman Site Parameters -- CPU (UIC,VOL)    Field should be blank</t>
  </si>
  <si>
    <t>Run fileman loop through file 870 to delete startup node field 
Do this to update the startup NODE field to reflect the new node names.
Select OPTION: SEARCH FILE ENTRIES  
OUTPUT FROM WHAT FILE: HL LOGICAL LINK// 
  -A- SEARCH FOR HL LOGICAL LINK FIELD: STARTUP NODE  
  -A- CONDITION: 'NULL  
  -B- SEARCH FOR HL LOGICAL LINK FIELD: 
IF: A//     STARTUP NODE NOT NULL
STORE RESULTS OF SEARCH IN TEMPLATE: 
SORT BY: NODE// 
START WITH NODE: FIRST// 
FIRST PRINT FIELD: .01  NODE
THEN PRINT FIELD: STARTUP NODE  
THEN PRINT FIELD: 
Heading (S/C): HL LOGICAL LINK SEARCH  Replace 
DEVICE: ;;9999  TELNET    Right Margin: 80// 
HL LOGICAL LINK SEARCH                     JUL 26,2006  11:14    PAGE 1
NODE        STARTUP NODE
-----------------------------------------------------------------------
EPHARM IN   ROU:631A01
MCAR INST   ROU:631A01
MCAR PFT    ROU:631A01
                         3 MATCHES FOUND.</t>
  </si>
  <si>
    <t>NDCP</t>
  </si>
  <si>
    <t>F34</t>
  </si>
  <si>
    <t>F36</t>
  </si>
  <si>
    <t>F37</t>
  </si>
  <si>
    <t>SP16</t>
  </si>
  <si>
    <t>SP20</t>
  </si>
  <si>
    <t>SP25</t>
  </si>
  <si>
    <t>SP26</t>
  </si>
  <si>
    <t>SP47</t>
  </si>
  <si>
    <t>MA01</t>
  </si>
  <si>
    <t>MA02</t>
  </si>
  <si>
    <t>MA03</t>
  </si>
  <si>
    <t>MA04</t>
  </si>
  <si>
    <t>MA05</t>
  </si>
  <si>
    <t>MA06</t>
  </si>
  <si>
    <t>MA07</t>
  </si>
  <si>
    <t>MA08</t>
  </si>
  <si>
    <t>MA09</t>
  </si>
  <si>
    <t>MA10</t>
  </si>
  <si>
    <t>MA11</t>
  </si>
  <si>
    <t>MA13</t>
  </si>
  <si>
    <t>MA12</t>
  </si>
  <si>
    <t>MA14</t>
  </si>
  <si>
    <r>
      <t>Export VHA* users  XML and the Beneficiary Travel DGBT CSP and</t>
    </r>
    <r>
      <rPr>
        <b/>
        <sz val="9"/>
        <color rgb="FFFF0000"/>
        <rFont val="Arial"/>
        <family val="2"/>
      </rPr>
      <t xml:space="preserve"> </t>
    </r>
    <r>
      <rPr>
        <b/>
        <sz val="12"/>
        <color rgb="FFFF0000"/>
        <rFont val="Arial"/>
        <family val="2"/>
      </rPr>
      <t>Import into Linux side</t>
    </r>
    <r>
      <rPr>
        <sz val="9"/>
        <rFont val="Arial"/>
        <family val="2"/>
      </rPr>
      <t xml:space="preserve"> - OS accounts will be on a as needed basis    
</t>
    </r>
    <r>
      <rPr>
        <b/>
        <sz val="12"/>
        <color rgb="FFFF0000"/>
        <rFont val="Arial"/>
        <family val="2"/>
      </rPr>
      <t xml:space="preserve">NOTE:  List all security items that need to be exported i.e., services, roles
NOTE: if you exported to multiple files remember to import all of them </t>
    </r>
  </si>
  <si>
    <t>SP30.5 NEW</t>
  </si>
  <si>
    <t>check Printer/CUPS queues</t>
  </si>
  <si>
    <t>Final Call Agenda Items:
  - Review the nature of any end user trouble calls
  - Review performance data sample results
  - Review end user perception of move and response
  - Review escalation procedures with site and ensure comfort level.
 - Report on feedback from end users on the VistARO system</t>
  </si>
  <si>
    <r>
      <t xml:space="preserve">create printer OPEN counts report </t>
    </r>
    <r>
      <rPr>
        <b/>
        <sz val="9"/>
        <color rgb="FFFF0000"/>
        <rFont val="Arial"/>
        <family val="2"/>
      </rPr>
      <t xml:space="preserve">from production Device file </t>
    </r>
    <r>
      <rPr>
        <sz val="9"/>
        <rFont val="Arial"/>
        <family val="2"/>
      </rPr>
      <t>-  sorted in order of usage those most used which will indicate priority - place report in USER$:[RDP.COM]</t>
    </r>
  </si>
  <si>
    <r>
      <t xml:space="preserve">Prepare a Linux version of  all locally created script procedures  and test on the Linux test system to ensure functionality will continue with the new design.
</t>
    </r>
    <r>
      <rPr>
        <b/>
        <sz val="9"/>
        <color rgb="FFFF0000"/>
        <rFont val="Arial"/>
        <family val="2"/>
      </rPr>
      <t>This should include but not limited to, VMS batch jobs that run DCL scripts, VMS DCL scripts that are submitted from Class3 routines to VMS to run, DCL scripts that individuals invoke on an AdHoc basis etc.</t>
    </r>
  </si>
  <si>
    <t>Null device has to have terminal type with an empty open and close execute. This needs to be done on Linux TEST.</t>
  </si>
  <si>
    <t xml:space="preserve">Site </t>
  </si>
  <si>
    <r>
      <rPr>
        <sz val="9"/>
        <rFont val="Arial"/>
        <family val="2"/>
      </rPr>
      <t>Verification of FOF on VMS System Prior to DB Move</t>
    </r>
    <r>
      <rPr>
        <b/>
        <sz val="9"/>
        <rFont val="Arial"/>
        <family val="2"/>
      </rPr>
      <t xml:space="preserve">  </t>
    </r>
    <r>
      <rPr>
        <b/>
        <sz val="9"/>
        <color rgb="FFFF0000"/>
        <rFont val="Arial"/>
        <family val="2"/>
      </rPr>
      <t xml:space="preserve">  </t>
    </r>
    <r>
      <rPr>
        <b/>
        <sz val="9"/>
        <rFont val="Arial"/>
        <family val="2"/>
      </rPr>
      <t>scd999SVR:SCD&gt;</t>
    </r>
    <r>
      <rPr>
        <b/>
        <sz val="9"/>
        <color rgb="FFFF0000"/>
        <rFont val="Arial"/>
        <family val="2"/>
      </rPr>
      <t xml:space="preserve">D CLEAN^NVSIDCCMP
</t>
    </r>
    <r>
      <rPr>
        <b/>
        <sz val="9"/>
        <rFont val="Arial"/>
        <family val="2"/>
      </rPr>
      <t>This cleanup should be run on production.
The following dates are available to clean: 
3140201.073001
3140202.073001
3140203.073
3140204.073
3140205.073001
3140206.073
3140207.073001
3140208.073
3140209.073
3140210.073
3140211.073
3140212.073001
3140213.073
3140214.073
Use cut/paste to pick a date you want to clean up.
Hit return to quit.
Once you enter a date and hit return, the deletion is permanent!
MAKE SURE YOU ARE ON PRODCUTION!
Date to delete:</t>
    </r>
    <r>
      <rPr>
        <b/>
        <sz val="9"/>
        <color rgb="FFFF0000"/>
        <rFont val="Arial"/>
        <family val="2"/>
      </rPr>
      <t xml:space="preserve">   &lt;ENTER&gt;
</t>
    </r>
  </si>
  <si>
    <t>Site Prep Tab</t>
  </si>
  <si>
    <t>F35</t>
  </si>
  <si>
    <r>
      <t xml:space="preserve">install John H routine in order to use on Saturday for allowing testers
ARIJHCU1                                                                 Security Key:  ARIJHCU1 TRUSTED USER 
RSA will be on Hines download site
fo-hines.va.gov/anonymous/ndc                                      </t>
    </r>
    <r>
      <rPr>
        <b/>
        <sz val="9"/>
        <color rgb="FFFF0000"/>
        <rFont val="Arial"/>
        <family val="2"/>
      </rPr>
      <t>FTP DOWNLOAD.VISTA.MED.VA.GOV              ANONYMOUS                                                                     cd NDC</t>
    </r>
  </si>
  <si>
    <t>Any site that runs Pyxis we need to update this routine on Friday or Saturday after all users are off, but before we start Taskman on Linux.  Comment out lines 2 AND 3 OF GO^VEFSPT1</t>
  </si>
  <si>
    <t xml:space="preserve">will the conversion routines handle DNS names instead of IP addresses?            </t>
  </si>
  <si>
    <t>TU02</t>
  </si>
  <si>
    <t>F13</t>
  </si>
  <si>
    <t>F28</t>
  </si>
  <si>
    <t>MA15</t>
  </si>
  <si>
    <t>Complete</t>
  </si>
  <si>
    <t>In Progress</t>
  </si>
  <si>
    <t xml:space="preserve">Check and/or load that the latest  NVSMENU and NVS utilities has been loaded 
Latest KIDS build can be found on download.vista.med.va.gov in the [ANONYMOUS.VSTS.AXP.NVSMENU2] directory
</t>
  </si>
  <si>
    <t>Review process to transport ZSHARE and other non-journaled data  (KB, BIO and CACHESQL)</t>
  </si>
  <si>
    <r>
      <t xml:space="preserve">VERIFY name of all testers, set up security key in production and </t>
    </r>
    <r>
      <rPr>
        <b/>
        <sz val="9"/>
        <color rgb="FFFF0000"/>
        <rFont val="Arial"/>
        <family val="2"/>
      </rPr>
      <t xml:space="preserve">assign to testers </t>
    </r>
    <r>
      <rPr>
        <sz val="9"/>
        <rFont val="Arial"/>
        <family val="2"/>
      </rPr>
      <t>and Key staff who will need to validate VistA connectivity after the DB has been migrated -</t>
    </r>
    <r>
      <rPr>
        <b/>
        <sz val="9"/>
        <color rgb="FFFF0000"/>
        <rFont val="Arial"/>
        <family val="2"/>
      </rPr>
      <t xml:space="preserve"> assign to bkgrnd imaging resource accounts and all service accounts</t>
    </r>
    <r>
      <rPr>
        <sz val="9"/>
        <rFont val="Arial"/>
        <family val="2"/>
      </rPr>
      <t xml:space="preserve">
</t>
    </r>
    <r>
      <rPr>
        <b/>
        <sz val="9"/>
        <rFont val="Arial"/>
        <family val="2"/>
      </rPr>
      <t>ARIJHCU1 TRUSTED USER</t>
    </r>
  </si>
  <si>
    <t>VERIFY name of all testers, set up security key in production and assigned to testers and Key staff who will need to validate VistA connectivity after the DB has been migrated - assign to bkgrnd imaging resource accounts and all service accounts
ARIJHCU1 TRUSTED USER</t>
  </si>
  <si>
    <t xml:space="preserve">Convert single listener HL Logical links to use port numbers that fall within the standard range of numbers for sites 1mn00 - 1mn99 where mn is the site's magic number.  VBECS is set to 1mn94 for Production and 1mn93 for Test
This is only necessary if the Vendor client connection cannot be pointed to the default HL7 multi-listener, then the single listeners need to use the port range 1mn00-1mn99.  
Please follow steps to clean up all non-active HL logical links.
</t>
  </si>
  <si>
    <t xml:space="preserve">Clean up mailman messages waiting in queue for transmission by playing scripts and fixing the problematic domains.   </t>
  </si>
  <si>
    <r>
      <t xml:space="preserve">Check journaling
Search cconsole.log for JRN, ZSTU
Use this information to both turn journaling on for "missed" datasets and globals and to plan for what datasets and globals will need to be manually moved to the NDC on cutover day.                                                                                           </t>
    </r>
    <r>
      <rPr>
        <sz val="9"/>
        <color theme="1"/>
        <rFont val="Arial"/>
        <family val="2"/>
      </rPr>
      <t>Example:  $ SEA USER$:[CACHESYS.scdnnnSVR.MGR]CCONSOLE.LOG ZSTU,JRN /MATCH=AND
Sample output
09/03/14-13:53:13:769 (202d44f2) 0 ZSTU: CHECKING JRN STATE FOR EACH DAT FILE
09/03/14-13:53:13:824 (202d44f2) 0 ZSTU: JRN DISABLED _$1$DKA102:[NEW.A01XUTL]
09/03/14-13:53:13:878 (202d44f2) 0 ZSTU: JRN DISABLED _$1$DKA102:[NEW.A02XUTL]
09/03/14-13:53:13:934 (202d44f2) 0 ZSTU: JRN DISABLED _$1$DKA102:[NEW.A03XUTL]
09/03/14-13:53:13:989 (202d44f2) 0 ZSTU: JRN ENABLED _$1$DKA102:[NEW.BRAD]
09/03/14-13:53:14:033 (202d44f2) 0 ZSTU: JRN ENABLED _$1$DKA102:[NEW.CPM]
09/03/14-13:53:14:085 (202d44f2) 0 ZSTU: JRN DISABLED _$1$DKA102:[NEW.HDSHDR]
09/03/14-13:53:14:131 (202d44f2) 0 ZSTU: JRN ENABLED _$1$DKA102:[NEW.ROU]
09/03/14-13:53:14:186 (202d44f2) 0 ZSTU: JRN DISABLED _$1$DKA102:[NEW.SQLHDR]
09/03/14-13:53:14:205 (202d44f2) 0 ZSTU: JRN DISABLED _$1$DKA102:[NEW.XSHARE]
09/03/14-13:53:14:272 (202d44f2) 0 ZSTU: JRN ENABLED _$1$DKA200:[CACHESYS.NEW999
SVR.MGR]
09/03/14-13:53:14:286 (202d44f2) 0 ZSTU: JRN STATES ARE ENABLED WHERE EXPECTED</t>
    </r>
    <r>
      <rPr>
        <b/>
        <sz val="9"/>
        <color indexed="10"/>
        <rFont val="Arial"/>
        <family val="2"/>
      </rPr>
      <t xml:space="preserve">
</t>
    </r>
  </si>
  <si>
    <t>All ACLs are reviewed and verified by secondary SME to ensure all ACLs have Fail Safe Range added that communicate with VistA.</t>
  </si>
  <si>
    <t xml:space="preserve">
If VPE is in use to avoid looping error when using editor, edit 
ERROR^%ZVEMSY+16
S ^%ZVEMS("ERROR",VEE("ID"))=$P($H,",",1)_"^"_$P($H,",",2)_"^"_ZE
</t>
  </si>
  <si>
    <t xml:space="preserve">On the site's test system, modify all class III code and configuration changes that requires remediation (i.e. references USER$ or any VMS disk) to reference the appropriate Linux directories) and verify that it all continues to function.
List in comments all Class III left to be remediated on day of migration.
</t>
  </si>
  <si>
    <t xml:space="preserve">We need this step done before the first FOF is done before the backup copy used for the transfer:
Back in 1988 and 1989, sometimes bad nodes would get in XUSEC and these nodes are causing the FOF to not record the correct data.
The way to check this is to D ^%G and put this in:
^XUSEC(0,3200000:"ALDEV"
If the next node you get is something like this:
XUSEC(0,"ALDEV"
The global is ok.   
If you get something different please send an email to the team with a screen shot.
</t>
  </si>
  <si>
    <t>F39</t>
  </si>
  <si>
    <t xml:space="preserve">If VPE is in use to avoid looping error when using editor, edit 
ERROR^%ZVEMSY+16
S ^%ZVEMS("ERROR",VEE("ID"))=$P($H,",",1)_"^"_$P($H,",",2)_"^"_ZE
         H:ZE["DSCON"
</t>
  </si>
  <si>
    <t>ISO to facilitate the update of profiles  of possible vendors who directly access your VistA system via telnet or secure shell connection  to a specific ip address.  Example:  Contract transcriptionists  (Any of the users who are using VPN will not be able to connect to VistA because their profile will have to be changed by the NSOC to allow the new IP addresses)</t>
  </si>
  <si>
    <t>Capture coversheet load times after go-live</t>
  </si>
  <si>
    <t>Does the site have ancillary databases such as BIOSQL, KBSQL or CacheSQL?</t>
  </si>
  <si>
    <t xml:space="preserve">If site has Zebra printers check open execute code:
There may be a problem with the Zebra printer not producing labels out of CPRS.  In one instance the Pre-Open execute had S ZEBRA=1 and the printer conversion erased it and CPRS did not know it was a Zebra.  This indicator made CPRS call a local program to do the printing.  Check their Device file for any existing code in the Pre-Open execute.
</t>
  </si>
  <si>
    <t>This is to be completed within the Site Prep timeframe. It can be restarted again closer to migration but not required for site prep.</t>
  </si>
  <si>
    <t>F40</t>
  </si>
  <si>
    <t>Schedule on Production the FOF for 2:50AM for Day of Migration.</t>
  </si>
  <si>
    <t>SU01</t>
  </si>
  <si>
    <t>SU02</t>
  </si>
  <si>
    <t>SU03</t>
  </si>
  <si>
    <t>SU04</t>
  </si>
  <si>
    <t>SU05</t>
  </si>
  <si>
    <t>SU06</t>
  </si>
  <si>
    <t xml:space="preserve">On Albany node ISC1A3, in PROISCSVR, edit CM SITE file, notification field
Report example:
VistA Monitoring Report
Saturday Oct 05, 2013@09:45:45
Echo sent every ..... 20 minutes
Reported late after . 60 minutes
----------------------------------------
Site............... Huntington
IP Address......... 10.73.100.249
Last Sent.......... 10/5/13@09:27:40
Last Received...... 10/5/13@07:27:30
Elapsed Time.......  2:00:10
Schedule Down Time. 9/21/13@01:00
Contact:
  Huntington: 304-429-6755 - Site
  Mary Curry: 304-751-0389 - VistA
  R3 Help Desk: 800-555-1212 - RDP
  R3 Linux Team: 800-555-1212 - Linux
  R3 Wan TEAM: 800-555-1212 – WAN
</t>
  </si>
  <si>
    <t>X03</t>
  </si>
  <si>
    <r>
      <rPr>
        <sz val="9"/>
        <color theme="1"/>
        <rFont val="Arial"/>
        <family val="2"/>
      </rPr>
      <t>NSOC Natted addresses 
Determine if there are any Local or National business partner gateways or affiliates to the medical center's VistA database,e.g. Quest, Phillips, GE, Data Innovations, Acustaf and LabCorp.  
Post listing to Share or send to DL.
o If Local, ISO open a ticket in the ISO Portal to have IP address changed.
o If National, notify the National BPG/BPE owner to open change ticket with ESCCB.</t>
    </r>
    <r>
      <rPr>
        <b/>
        <sz val="9"/>
        <color rgb="FFFF0000"/>
        <rFont val="Arial"/>
        <family val="2"/>
      </rPr>
      <t xml:space="preserve">
</t>
    </r>
  </si>
  <si>
    <t>Cleanup S.type messages in postmaster mailbox</t>
  </si>
  <si>
    <r>
      <t xml:space="preserve">Run the following script to create standard directories /root/scripts/create_site_dirs.sh scd
Create any site specific directories that were not created by the script (Class III).
(Primary and DR)
</t>
    </r>
    <r>
      <rPr>
        <b/>
        <i/>
        <sz val="9"/>
        <color rgb="FFFF0000"/>
        <rFont val="Arial"/>
        <family val="2"/>
      </rPr>
      <t xml:space="preserve">
</t>
    </r>
  </si>
  <si>
    <t xml:space="preserve">Verify 3 XUTL for app front ends –this needs to be done during build of instances
(Primary and DR)
</t>
  </si>
  <si>
    <t xml:space="preserve">Move the DB if step D02 (verifying file FOF) is marked GREEN.  Record in comments the total time, size and method (sftp vs. ftp) for the database move.  
(Primary and DR)
</t>
  </si>
  <si>
    <t xml:space="preserve">run integrity checks
(Primary and DR)
</t>
  </si>
  <si>
    <t xml:space="preserve">start shadow
(Primary and DR)
</t>
  </si>
  <si>
    <t xml:space="preserve">Check Capacity Planning Environment (ensure Active User has scheduled)
D ^KMPDSS
• RUM (KMPD Background Driver scheduled to run daily)
• SAGG (Ensure scheduled to run every 28 days)
• Timing (Start collection if needed)
KMPR START COLLECTION       Start RUM Collection  
Do you want to start Resource Usage Monitor collection? YES// 
          Resource Usage Monitor collection is started.
Send capture of results to DL for migration. 
</t>
  </si>
  <si>
    <t>Have all recurring errors identified in Site Prep all been remediated.</t>
  </si>
  <si>
    <t>Remediate recurring errors in error trap.</t>
  </si>
  <si>
    <t>Identify any issues with performance on applications and interfaced systems</t>
  </si>
  <si>
    <r>
      <t xml:space="preserve">Verify that re-location/failover procedures are in place for all systems that interface with VistA.
DI, Audioicare, Baker Cell, DSS, Proscribe, Muse, etc.
</t>
    </r>
    <r>
      <rPr>
        <b/>
        <i/>
        <sz val="9"/>
        <color rgb="FFFF0000"/>
        <rFont val="Arial"/>
        <family val="2"/>
      </rPr>
      <t xml:space="preserve">Important!  </t>
    </r>
    <r>
      <rPr>
        <b/>
        <sz val="9"/>
        <color rgb="FFFF0000"/>
        <rFont val="Arial"/>
        <family val="2"/>
      </rPr>
      <t xml:space="preserve"> Make sure that all interfaced system failover procedures are well documented and that staff are identified who can make the modifications on cutover day.                  </t>
    </r>
    <r>
      <rPr>
        <b/>
        <sz val="9"/>
        <color theme="1"/>
        <rFont val="Arial"/>
        <family val="2"/>
      </rPr>
      <t>Any that cannot use FQDN needs to be documented.</t>
    </r>
    <r>
      <rPr>
        <b/>
        <sz val="9"/>
        <color rgb="FFFF0000"/>
        <rFont val="Arial"/>
        <family val="2"/>
      </rPr>
      <t xml:space="preserve">
</t>
    </r>
  </si>
  <si>
    <t>F04</t>
  </si>
  <si>
    <t>F05</t>
  </si>
  <si>
    <t>F41</t>
  </si>
  <si>
    <t xml:space="preserve">Check the Option Scheduling file to verify that Rebuild Menu option is tasked for early morning time
Select OPTION: INQUIRE TO FILE ENTRIES
OUTPUT FROM WHAT FILE: MAILMAN SITE PARAMETERS// OPTION SCHEDULING
                                          (263 entries)
Select OPTION SCHEDULING NAME: XQBUILDTREEQUE       Non-interactive Build Primar
y Menu Trees
ANOTHER ONE:
STANDARD CAPTIONED OUTPUT? Yes//   (Yes)
Include COMPUTED fields:  (N/Y/R/B): NO//  - No record number (IEN), no Computed
 Fields
NAME: XQBUILDTREEQUE
  QUEUED TO RUN AT WHAT TIME: MAR 21, 2009@00:30
  RESCHEDULING FREQUENCY: 1D            TASK ID: 7820140
</t>
  </si>
  <si>
    <t>Loop thru file 19.2 and take out any "queued to run on volume set"</t>
  </si>
  <si>
    <t>Site to reschedule the Kernel XQALERT DELETE OLD option task until the migration is complete, this  prevents Alerts that go to the user of Last Hope.</t>
  </si>
  <si>
    <t>Verify VRO accessable /ready for use
check that health summaries works on VRO &amp; clinical reminders (if clinical reminders are not working check the null device)</t>
  </si>
  <si>
    <r>
      <t xml:space="preserve">Device file 3.5
Input transform needs length to be at least 50 characters to accommodate Linux directory path required for VistA interfaces.  
Example: 
</t>
    </r>
    <r>
      <rPr>
        <sz val="8"/>
        <color theme="1"/>
        <rFont val="r_ansi"/>
        <family val="3"/>
      </rPr>
      <t>Select UTILITY OPTION: INPUT TRANSFORM (SYNTAX)  
MODIFY WHAT FILE: DEVICE// 
Select FIELD: $I  
$I INPUT TRANSFORM: K:$L(X)</t>
    </r>
    <r>
      <rPr>
        <b/>
        <sz val="8"/>
        <color theme="1"/>
        <rFont val="r_ansi"/>
        <family val="3"/>
      </rPr>
      <t>&gt;40</t>
    </r>
    <r>
      <rPr>
        <sz val="8"/>
        <color theme="1"/>
        <rFont val="r_ansi"/>
        <family val="3"/>
      </rPr>
      <t xml:space="preserve"> X I $D(X) N % S %=$G(^("TYPE")) I $D(^%ZIS(1,"C",X)) D EN^DDIOL(" This $I in use by other Devices."_$C(7),"","?30") K:%="RES" X
Replace </t>
    </r>
    <r>
      <rPr>
        <b/>
        <sz val="8"/>
        <color theme="1"/>
        <rFont val="r_ansi"/>
        <family val="3"/>
      </rPr>
      <t>&gt;40 With &gt;50</t>
    </r>
    <r>
      <rPr>
        <sz val="8"/>
        <color theme="1"/>
        <rFont val="r_ansi"/>
        <family val="3"/>
      </rPr>
      <t xml:space="preserve">
$I INPUT TRANSFORM: K:$L(X)</t>
    </r>
    <r>
      <rPr>
        <b/>
        <sz val="8"/>
        <color theme="1"/>
        <rFont val="r_ansi"/>
        <family val="3"/>
      </rPr>
      <t>&gt;50</t>
    </r>
    <r>
      <rPr>
        <sz val="8"/>
        <color theme="1"/>
        <rFont val="r_ansi"/>
        <family val="3"/>
      </rPr>
      <t xml:space="preserve"> X I $D(X) N % S %=$G(^("TYPE")) I $D(^%ZIS(1,"C",X)) D EN^DDIOL(" This $I in use by other Devices."_$C(7),"","?30") K:%="RES" X</t>
    </r>
    <r>
      <rPr>
        <sz val="10"/>
        <color theme="1"/>
        <rFont val="Arial"/>
        <family val="2"/>
      </rPr>
      <t xml:space="preserve">
</t>
    </r>
  </si>
  <si>
    <t>Confirm IENs in Device file match between Test and Production</t>
  </si>
  <si>
    <t>SU07</t>
  </si>
  <si>
    <t>SU08</t>
  </si>
  <si>
    <t>SU09</t>
  </si>
  <si>
    <t>Site ISO</t>
  </si>
  <si>
    <t>ISO</t>
  </si>
  <si>
    <t>D11</t>
  </si>
  <si>
    <t>Perform database defragmentation                                           (Primary only)</t>
  </si>
  <si>
    <t>Screen scrape of current DNS settings.</t>
  </si>
  <si>
    <t xml:space="preserve">Get Listing of DNS entries to determine what are static entries that will need to removed on the day of migration, also check what the site's loadbroker is advertising
Send to respective DL VA IT Engineering HS Migration Support.  Encryption is not required per NSOC
</t>
  </si>
  <si>
    <t xml:space="preserve">Schedule downtime for hospital 
(8 hours Required)
(Shutdown starting time must be between 8AM-11AM Required)
</t>
  </si>
  <si>
    <t>FCIO</t>
  </si>
  <si>
    <t>Verify scheduled downtime for hospital 
(8 hours Required)
(Shutdown starting time must be between 8AM-11AM Required)</t>
  </si>
  <si>
    <t>Verify rooms for migration team
requirements
- ip addressing in room needs to be a non-managed VLAN by the sites domain (un-managed switch), this is to prevent  site/visn from loading updates to migration team laptops
-provide power
-ensure airconditioning is is on for the day of migration</t>
  </si>
  <si>
    <t xml:space="preserve">HSP release the Daily compare in cache TASKMGR on the migration shadow before leaving site and reschedule to run at 3am.  </t>
  </si>
  <si>
    <t>Biomed verify all device/interfaces are functioning.</t>
  </si>
  <si>
    <t>R02 did not want to shutdown until Saturday in case of a node failure on Friday night.
Stop DBS Monitor – unschedule for VMS sites
For standalone sites sample DBS Monitor shutdown: In the supporting documents folder of the checklist sharepoint - document name DBS Monitor Shutdown</t>
  </si>
  <si>
    <t>Run database comparisons the Local VAMC's Production configuration and the RDPC "Shadow" configuration.</t>
  </si>
  <si>
    <t>F42</t>
  </si>
  <si>
    <t>MA16</t>
  </si>
  <si>
    <t>Laboratory verify all device/interfaces are functioning.</t>
  </si>
  <si>
    <t>Pharmacy verify all device/interfaces are functioning.</t>
  </si>
  <si>
    <t>F38</t>
  </si>
  <si>
    <t>Review task jobs and options that might need to be re-started or checked after re-start.  
Take a screen capture to include Scheduled Options,  HL status, Taskman Monitor, Filer Monitor and Error Trap.  
Store this on the Project's Share.</t>
  </si>
  <si>
    <t>Confirm site IT staff are aware of tasks/requirements involved with assisting the migration with Application and Printer hotlines.   Ensure they have required access to perform duties and any necessary (LYNC) invitations.</t>
  </si>
  <si>
    <t>Implement changes to the online backup procedure locally to keep sufficient days (minimum of 7) of journal files in the default directories to facilitate maintenance of the shadows.</t>
  </si>
  <si>
    <t>Prerequisites to Site Prep</t>
  </si>
  <si>
    <r>
      <rPr>
        <sz val="9"/>
        <color theme="1"/>
        <rFont val="Arial"/>
        <family val="2"/>
      </rPr>
      <t xml:space="preserve">Check that all sites are using the standard port numbering convention, i.e.,     broker 192mn,         m2m (Imaging) 148mn,                 Vistalink (Sentillion Vault) 180mn  Need to be in standard range for ALL HL7 interfaces defined in HL Logical Link file such as ROR RECV, MDHL IN, PICIS-PDF, PICIS-TIU, VBECS, etc. to avoid any firewall issues on the new Linux platform.  
         </t>
    </r>
    <r>
      <rPr>
        <b/>
        <u/>
        <sz val="9"/>
        <color theme="1"/>
        <rFont val="Arial"/>
        <family val="2"/>
      </rPr>
      <t>Reference</t>
    </r>
    <r>
      <rPr>
        <sz val="9"/>
        <color theme="1"/>
        <rFont val="Arial"/>
        <family val="2"/>
      </rPr>
      <t xml:space="preserve">:  http://axpintmaster.med.va.gov/idcr   </t>
    </r>
    <r>
      <rPr>
        <b/>
        <sz val="9"/>
        <color rgb="FFFF0000"/>
        <rFont val="Arial"/>
        <family val="2"/>
      </rPr>
      <t xml:space="preserve">
</t>
    </r>
  </si>
  <si>
    <r>
      <t xml:space="preserve">DNS for the VistA environment should comply with the </t>
    </r>
    <r>
      <rPr>
        <b/>
        <i/>
        <sz val="9"/>
        <color indexed="8"/>
        <rFont val="Arial"/>
        <family val="2"/>
      </rPr>
      <t>DNS VistA</t>
    </r>
    <r>
      <rPr>
        <sz val="9"/>
        <color indexed="8"/>
        <rFont val="Arial"/>
        <family val="2"/>
      </rPr>
      <t xml:space="preserve"> document
VISTA.&lt;sitename&gt;.MED.VA.GOV
ECP.&lt;sitename&gt;.MED.VA.GOV
TEST.&lt;sitename&gt;.MED.VA.GOV
ECPTEST.&lt;sitename&gt;.MED.VA.GOV
HL7.&lt;sitename&gt;.MED.VA.GOV as a CNAME record pointing to ECP.&lt;sitename&gt;.MED.VA.GOV
CSP.&lt;sitename&gt;.MED.VA.GOV an A record pointing to system management portal’s IP address
</t>
    </r>
    <r>
      <rPr>
        <b/>
        <sz val="9"/>
        <color rgb="FFFF0000"/>
        <rFont val="Arial"/>
        <family val="2"/>
      </rPr>
      <t xml:space="preserve">Change mx type record to point to the ECP fqdn and delete the mx1.&lt;sitename&gt;.med.va.gov “A” record as it is no longer pointed to by mail or any other record.                                             </t>
    </r>
    <r>
      <rPr>
        <sz val="9"/>
        <color rgb="FFFF0000"/>
        <rFont val="Arial"/>
        <family val="2"/>
      </rPr>
      <t xml:space="preserve">
     </t>
    </r>
    <r>
      <rPr>
        <b/>
        <sz val="9"/>
        <color rgb="FFFF0000"/>
        <rFont val="Arial"/>
        <family val="2"/>
      </rPr>
      <t xml:space="preserve">Need to remediate brokerserver and MX1 DNS entries </t>
    </r>
    <r>
      <rPr>
        <sz val="9"/>
        <color rgb="FFFF0000"/>
        <rFont val="Arial"/>
        <family val="2"/>
      </rPr>
      <t xml:space="preserve">                        
</t>
    </r>
    <r>
      <rPr>
        <b/>
        <sz val="9"/>
        <color rgb="FFFF0000"/>
        <rFont val="Arial"/>
        <family val="2"/>
      </rPr>
      <t>Note: make sure that the site's DHCP scopes are pointing to more than just their two PDCs so that they will continue to be able to find the NDC if the local computer room goes down.</t>
    </r>
  </si>
  <si>
    <r>
      <t xml:space="preserve">VMS to RHEL Linux 6.1 Migration Cookbook  </t>
    </r>
    <r>
      <rPr>
        <b/>
        <sz val="9"/>
        <color rgb="FFFF0000"/>
        <rFont val="Arial"/>
        <family val="2"/>
      </rPr>
      <t/>
    </r>
  </si>
  <si>
    <r>
      <rPr>
        <sz val="9"/>
        <rFont val="Arial"/>
        <family val="2"/>
      </rPr>
      <t xml:space="preserve">GO to </t>
    </r>
    <r>
      <rPr>
        <b/>
        <sz val="9"/>
        <rFont val="Arial"/>
        <family val="2"/>
      </rPr>
      <t xml:space="preserve">SITE prep </t>
    </r>
    <r>
      <rPr>
        <sz val="9"/>
        <rFont val="Arial"/>
        <family val="2"/>
      </rPr>
      <t>tab</t>
    </r>
  </si>
  <si>
    <r>
      <rPr>
        <sz val="9"/>
        <rFont val="Arial"/>
        <family val="2"/>
      </rPr>
      <t xml:space="preserve">Run File of Files (V7.40)
</t>
    </r>
    <r>
      <rPr>
        <b/>
        <sz val="9"/>
        <color theme="4"/>
        <rFont val="Arial"/>
        <family val="2"/>
      </rPr>
      <t>D FOF^NVSIDCCMP</t>
    </r>
    <r>
      <rPr>
        <sz val="9"/>
        <color theme="3" tint="0.39997558519241921"/>
        <rFont val="Arial"/>
        <family val="2"/>
      </rPr>
      <t xml:space="preserve">
</t>
    </r>
    <r>
      <rPr>
        <sz val="9"/>
        <rFont val="Arial"/>
        <family val="2"/>
      </rPr>
      <t xml:space="preserve">
Set Up VistA Daily FOF run</t>
    </r>
    <r>
      <rPr>
        <b/>
        <sz val="9"/>
        <rFont val="Arial"/>
        <family val="2"/>
      </rPr>
      <t xml:space="preserve">
This program will set up VistA Daily FOF run.
</t>
    </r>
    <r>
      <rPr>
        <b/>
        <sz val="9"/>
        <color theme="3" tint="0.39997558519241921"/>
        <rFont val="Arial"/>
        <family val="2"/>
      </rPr>
      <t>&gt;D QUEFOF^NVSIDCCMP</t>
    </r>
    <r>
      <rPr>
        <b/>
        <sz val="9"/>
        <rFont val="Arial"/>
        <family val="2"/>
      </rPr>
      <t xml:space="preserve">
Do you want to proceed? ? No// </t>
    </r>
    <r>
      <rPr>
        <b/>
        <sz val="9"/>
        <color theme="3" tint="0.39997558519241921"/>
        <rFont val="Arial"/>
        <family val="2"/>
      </rPr>
      <t>Y</t>
    </r>
    <r>
      <rPr>
        <b/>
        <sz val="9"/>
        <color theme="3" tint="-0.249977111117893"/>
        <rFont val="Arial"/>
        <family val="2"/>
      </rPr>
      <t xml:space="preserve"> </t>
    </r>
    <r>
      <rPr>
        <b/>
        <sz val="9"/>
        <rFont val="Arial"/>
        <family val="2"/>
      </rPr>
      <t xml:space="preserve"> (Yes)
Do you want to delete all old VistA Daily FOF run tasks? No//</t>
    </r>
    <r>
      <rPr>
        <b/>
        <sz val="9"/>
        <color theme="3" tint="-0.249977111117893"/>
        <rFont val="Arial"/>
        <family val="2"/>
      </rPr>
      <t xml:space="preserve"> </t>
    </r>
    <r>
      <rPr>
        <b/>
        <sz val="9"/>
        <color theme="3" tint="0.39997558519241921"/>
        <rFont val="Arial"/>
        <family val="2"/>
      </rPr>
      <t>Y</t>
    </r>
    <r>
      <rPr>
        <b/>
        <sz val="9"/>
        <color theme="3" tint="-0.249977111117893"/>
        <rFont val="Arial"/>
        <family val="2"/>
      </rPr>
      <t xml:space="preserve"> </t>
    </r>
    <r>
      <rPr>
        <b/>
        <sz val="9"/>
        <rFont val="Arial"/>
        <family val="2"/>
      </rPr>
      <t xml:space="preserve"> (Yes)
No tasks were found to be removed.
What will be this task's STARTING FUTURE DATE: </t>
    </r>
    <r>
      <rPr>
        <b/>
        <sz val="9"/>
        <color theme="3" tint="0.39997558519241921"/>
        <rFont val="Arial"/>
        <family val="2"/>
      </rPr>
      <t>T+1</t>
    </r>
    <r>
      <rPr>
        <b/>
        <sz val="9"/>
        <color theme="3" tint="-0.249977111117893"/>
        <rFont val="Arial"/>
        <family val="2"/>
      </rPr>
      <t xml:space="preserve"> </t>
    </r>
    <r>
      <rPr>
        <b/>
        <sz val="9"/>
        <rFont val="Arial"/>
        <family val="2"/>
      </rPr>
      <t xml:space="preserve"> (MAY 05, 2013)
Task successfully set up</t>
    </r>
  </si>
  <si>
    <t>PRE1</t>
  </si>
  <si>
    <t>PRE2</t>
  </si>
  <si>
    <t>PRE3</t>
  </si>
  <si>
    <t>PRE4</t>
  </si>
  <si>
    <t>PRE5</t>
  </si>
  <si>
    <t>PRE6</t>
  </si>
  <si>
    <t>PRE7</t>
  </si>
  <si>
    <t>PRE8</t>
  </si>
  <si>
    <t>Begin conference calls with site to review progress and communicate any outstanding issues.</t>
  </si>
  <si>
    <t xml:space="preserve">Create site specific Disks on storage at Primary and DR sides
</t>
  </si>
  <si>
    <t xml:space="preserve">Install the Cache Instances for the site on all appropriate nodes in the data center, i.e., BE servers (database cluster) and FE app servers.
(Primary and DR)
</t>
  </si>
  <si>
    <t xml:space="preserve">Install FTP client on NEW production cluster Linux BE Nodes for CPAC. CPAC has a waiver to use unsecured FTP
(Primary and DR)
</t>
  </si>
  <si>
    <t>Verify site specific XINETD services using the approved standard ports assigned to the site.
xxx_xmbp
xxx_rpcp
xxx_vlkp
xxx_m2mp
xxx_hlsp
xxx_hlop
xxx_iwyp</t>
  </si>
  <si>
    <t xml:space="preserve">Check Linux firewall for port/(range) under the VistA chain:
[root@r01dvrdhcd01 ~]# iptables -L
(if port not open, add it to VistA chain)
[root@r01dvrdhcd01 ~]# iptables -A VistA -p tcp -m state --state NEW -m tcp --dport 13203 -j ACCEPT
(Recheck  Linux firewall)
[root@r01dvrdhcd01 ~]# iptables –L
(Primary and DR)
</t>
  </si>
  <si>
    <t xml:space="preserve">Prepare backup and integrity checks for site on the Linux clusters
(Primary and DR)
</t>
  </si>
  <si>
    <t>Verify that all local VAMC users who need Linux access have accounts created on the Linux cluster</t>
  </si>
  <si>
    <t xml:space="preserve">Verify  journal files go to standard location on the /srv/vista/scd/jrn/shadjrn
(Primary and DR)
</t>
  </si>
  <si>
    <t>done</t>
  </si>
  <si>
    <t xml:space="preserve">version 7.40  </t>
  </si>
  <si>
    <t>at least 7.33</t>
  </si>
  <si>
    <t>ZSTU - VISN 3 dataset renaming</t>
  </si>
  <si>
    <t>CPAC</t>
  </si>
  <si>
    <t>Message statistics to VMS file</t>
  </si>
  <si>
    <t>Search the Option File for entry/exit actions that might reference a specific directory; these will need to be  updated to use the correct Linux /directory on day of migration</t>
  </si>
  <si>
    <t>pre-migration visit</t>
  </si>
  <si>
    <t>6 days</t>
  </si>
  <si>
    <t xml:space="preserve">ISO / WAN </t>
  </si>
  <si>
    <r>
      <t>Archive ??? / </t>
    </r>
    <r>
      <rPr>
        <sz val="9"/>
        <rFont val="Arial"/>
        <family val="2"/>
      </rPr>
      <t xml:space="preserve">Kickstart or cache build creates standard directories for a site, but site must identify class III directories needed. </t>
    </r>
  </si>
  <si>
    <t xml:space="preserve">Notify national of user node IP changes for vendor VPN access, HL7, Mail Domain, etc. Including the following DLs and individuals
VA IT Engineering HSI
VHA OI SDD CAPRI
VA IT Engineering Health Systems
VA IT IP Changes Notification
Rolando Munoz (AITC)
HDR (James McNamara, Bob Shetler)
CDW Vista Extract Team 
Bed Management (John Trotter)
VIE National Admins
OIT PD Product Support Health PS Clinical Team 4
VA IdS MVI Sys Admin
VA IT SDE EO EAS BCE Build Management
VA IT SDE EO EAS BCE Windows Administration
VA IT SDE EO EAS BCE Database Administration 
VA IT SDE EO EAS BCE Project Management
VHA NTP Support 
VHA eInsurance Rapid Response
Capri - National Data Systems (Jim Peterson, Cindy Wamsley)
VA eMI Operations
</t>
  </si>
  <si>
    <t>SP18</t>
  </si>
  <si>
    <t>SP19</t>
  </si>
  <si>
    <t>SP21</t>
  </si>
  <si>
    <t>SP22</t>
  </si>
  <si>
    <t>SP23</t>
  </si>
  <si>
    <t>SP24</t>
  </si>
  <si>
    <t>SP30</t>
  </si>
  <si>
    <t>SP37</t>
  </si>
  <si>
    <t>SP43</t>
  </si>
  <si>
    <t>SP53</t>
  </si>
  <si>
    <t>SP56</t>
  </si>
  <si>
    <r>
      <t xml:space="preserve">Change the parameter file for the VSSM package,  unschedule and uninstall the package. VistA System Space Monitor. Uninstall routine (AWCVSSUN.RO;1) is at FO-Hines anon$:[anonymous.ndc]
</t>
    </r>
    <r>
      <rPr>
        <sz val="8"/>
        <rFont val="Arial"/>
        <family val="2"/>
      </rPr>
      <t xml:space="preserve">Example:
D ^AWCVSSUN 
Uninstall the VistA System Space Manager 
Are you SURE you want to remove the entire application from VistA? No// Y  (Yes) 
Are you REALLY sure you want to remove the entire application? No// Y  (Yes) 
Option AWC VSSM (MANUAL) removed 
Option AWC VSSM (TASKMAN) removed 
Option AWC VSSM MAIN MENU removed 
Option AWC VSSM PARAMETER EDIT removed 
Option AWC VSSM TEST removed 
Routine AWCFWARN removed 
Routine AWCVSSED removed 
The VistA System Space Monitor Parameter File removed 
Done.  The application is completely removed. </t>
    </r>
  </si>
  <si>
    <t xml:space="preserve">Check AudioCare
(if appointment email reporting is set up you can confirm a message was received in VistA mail with summary on AudioCare status)
</t>
  </si>
  <si>
    <t xml:space="preserve">Verify the BMS_user, Bed_control and APP1_User are disabled. 
</t>
  </si>
  <si>
    <t>Radiology verify all device/interfaces are functioning.</t>
  </si>
  <si>
    <t xml:space="preserve">Final Call Agenda Items:
   - Review OI&amp;T perception of migration
   - Report on OI&amp;T staff walk-through spot checks 
  -  Review escalation procedures with site and ensure comfort level.
</t>
  </si>
  <si>
    <r>
      <t xml:space="preserve">1. Get listing from NSOC for any Business Partner Gateways by entering ticket with NSOC and following up with email to:
</t>
    </r>
    <r>
      <rPr>
        <b/>
        <sz val="10"/>
        <rFont val="Arial"/>
        <family val="2"/>
      </rPr>
      <t xml:space="preserve">Email:  VA NSOC BPE Operations 
</t>
    </r>
    <r>
      <rPr>
        <sz val="10"/>
        <rFont val="Arial"/>
        <family val="2"/>
      </rPr>
      <t xml:space="preserve">
2. Send listing upon receipt to:   VA IT Region 4 VistA Migrations 
(NSOC POC - William (Bill) Nocerino and Hubert Webb)
</t>
    </r>
  </si>
  <si>
    <t>ESL Apps / FES</t>
  </si>
  <si>
    <t>ESL HS</t>
  </si>
  <si>
    <t xml:space="preserve">ESL COTS / Biomed POC </t>
  </si>
  <si>
    <t>ESL Apps</t>
  </si>
  <si>
    <t>ESL LAN / Biomed POC</t>
  </si>
  <si>
    <t>ESL HS / Site</t>
  </si>
  <si>
    <t>ESL FES</t>
  </si>
  <si>
    <t>ESL COTS / Biomed POC</t>
  </si>
  <si>
    <t>ESL Apps &amp; COTS / Kernel / VistA Imaging POC</t>
  </si>
  <si>
    <t>FCIO / Site Biomed / ESL COTS</t>
  </si>
  <si>
    <t>ESL Applications/ Site</t>
  </si>
  <si>
    <t>ESL / Site Applications</t>
  </si>
  <si>
    <t>ESL COTS</t>
  </si>
  <si>
    <t>ESL Applications / COTS / HS / Site</t>
  </si>
  <si>
    <t>Site / ESL / Biomedical</t>
  </si>
  <si>
    <t>ESL COTS / Site POC / Biomed POC</t>
  </si>
  <si>
    <t>ESL COTS / Lab ADPAC / Biomed POC</t>
  </si>
  <si>
    <t>ESL COTS/ Pharmacy ADPAC / Biomed POC</t>
  </si>
  <si>
    <t>ESL Apps Clin / ESL COTS / Radiology ADPAC / Biomed POC</t>
  </si>
  <si>
    <t xml:space="preserve">Run D XUS91^%ZSPECIAL
(Display users) in order to identify service accounts to get the "unlocked" key
VistA Service accounts examples:  bgp,user; imed,user
Run options XUSAP PROXY LIST and XUSAP PROXY CONN DETAIL INQ to review
If a user shows up as background user but does not show up as a proxy user determine if they need to be set as proxy user.
</t>
  </si>
  <si>
    <t xml:space="preserve">                         Request room for migration team
Requirements:
- Each team member will need to connect their laptop to the network
- Ensure there are enough cables, power strips/outlets
- Ensure air conditioning/heat is on for the day of migration
- - The same room will be needed for Friday, Saturday, and Monday. </t>
  </si>
  <si>
    <t>Establish date for DB move 3 weeks prior to VistA migration</t>
  </si>
  <si>
    <t>BYN/PITC</t>
  </si>
  <si>
    <t>BYN</t>
  </si>
  <si>
    <r>
      <t xml:space="preserve">Verify the </t>
    </r>
    <r>
      <rPr>
        <sz val="10"/>
        <color rgb="FFFF0000"/>
        <rFont val="Arial"/>
        <family val="2"/>
      </rPr>
      <t>CommVault</t>
    </r>
    <r>
      <rPr>
        <sz val="10"/>
        <rFont val="Arial"/>
        <family val="2"/>
      </rPr>
      <t xml:space="preserve"> is complete on all nodes  (Primary and DR)</t>
    </r>
  </si>
  <si>
    <t>Insure that Access Control Lists at the site for both BYN and PITC (and at VISN if needed) have been appropriately opened to permit the free flow of data between them.</t>
  </si>
  <si>
    <t>Begin PITC/BYN standup conference calls to ensure that cluster preparation tasks are on schedule.</t>
  </si>
  <si>
    <t>BYN or PITC</t>
  </si>
  <si>
    <t>SITE or BYN/PITC</t>
  </si>
  <si>
    <t>Site / BYN / PITC</t>
  </si>
  <si>
    <t>BYN / PITC</t>
  </si>
  <si>
    <t xml:space="preserve">Start the set up of cache shadow server to the BYN/PITC  instances.
(Primary and DR)
</t>
  </si>
  <si>
    <t xml:space="preserve">After BYN/PITC shadow is caught up, run compare if good kick off D2D backup save in area A.
1st copy of DB will be in "target" disk space and shadowed from the site production, after integrits and compares. From this point on a backup of the shadow will be taken every day, alternating to 2 areas each day. 
(Primary and DR)
</t>
  </si>
  <si>
    <t xml:space="preserve">Backup copies of the BYN/PITC shadow are made daily with two copies stored at the data center.
(Primary and DR)
</t>
  </si>
  <si>
    <t>Site, Test , BYN/PITC</t>
  </si>
  <si>
    <t>SITE PROD/ BYN/PITC</t>
  </si>
  <si>
    <t>Site, Test or BYN/PITC</t>
  </si>
  <si>
    <t>SITE PROD/ BYN / PITC</t>
  </si>
  <si>
    <t xml:space="preserve">Add the BYN/PITC servers to Cache Direct Cube list for staff members at the local VAMC and all team members.
Remember that the default port number for the cube is 197mn at the RDPC.
Programmers should use the DB node for recompiles etc.
</t>
  </si>
  <si>
    <t>SITE / BYN/PITC</t>
  </si>
  <si>
    <t>BYN/PITC / TEAM</t>
  </si>
  <si>
    <t xml:space="preserve">BYN/PITC </t>
  </si>
  <si>
    <t>Run database comparisions the Local VAMC's Production configuration and the BYN/PITC "Shadow" configuration.</t>
  </si>
  <si>
    <r>
      <t>Verify site specific XINETD services at BYN/PITC using the approved standard ports assigned to the site.
xxx_xmbp
xxx_rpcp
xxx_vlkp
xxx_m2mp
xxx_hlsp
xxx_hlop
xxx_iwyp</t>
    </r>
    <r>
      <rPr>
        <b/>
        <sz val="9"/>
        <color indexed="10"/>
        <rFont val="Arial"/>
        <family val="2"/>
      </rPr>
      <t xml:space="preserve">
</t>
    </r>
    <r>
      <rPr>
        <sz val="9"/>
        <color rgb="FFFF0000"/>
        <rFont val="Arial"/>
        <family val="2"/>
      </rPr>
      <t>chkconfig -- list | grep scd</t>
    </r>
  </si>
  <si>
    <t>Copy any site user directories and files to BYN/PITC as needed.</t>
  </si>
  <si>
    <t>Site / BYN/ PITC</t>
  </si>
  <si>
    <t>PRExx= Site Prep, DCxx=DC Prep, Nxx=Notifications, Dxx= DB copy, Mxx=Mon, Tuxx=Tue, Wxx=Wed, Thxx=Thur, Fxx=Fri, Sxx=Sat, SAxx=Sun after, MAxx=Mon after,  Xxx=&gt;1 Week</t>
  </si>
  <si>
    <t>NETWORK (Site &amp; BYN/PITC</t>
  </si>
  <si>
    <t>SPxx= Site Prep, DCxx=DC Prep, Nxx=Notifications, Dxx= DB copy, Mxx=Mon, Tuxx=Tue, Wxx=Wed, Thxx=Thur, Fxx=Fri, Sxx=Sat, SAxx=Sun after, MAxx=Mon after,  Xxx=&gt;1 Week</t>
  </si>
  <si>
    <t>BYN/PITC Preparation Tab</t>
  </si>
  <si>
    <t>Prep BYN/PITC Cluster and FEs</t>
  </si>
  <si>
    <t>This should also include the BYN/PITC buildouts</t>
  </si>
  <si>
    <t xml:space="preserve">Save the site's production .CPF file to USER$:[cachesys.&lt;instance&gt;] with .CPF_migration extension before copying to BYN/PITC This is being saved to be able to compare if there are any differences in mappings etc. the day before and the day of migration
Name and Location of Compare: _______________________
</t>
  </si>
  <si>
    <t>SPxx= Site Prep, DPxx=D Prep, Nxx=Notifications, Dxx= DB copy, Mxx=Mon, Tuxx=Tue, Wxx=Wed, Thxx=Thur, Fxx=Fri, Sxx=Sat, SAxx=Sun after, MAxx=Mon after,  Xxx=&gt;1 Week</t>
  </si>
  <si>
    <t>SPxx= Site Prep, DPxx=DC Prep, Nxx=Notifications, Dxx= DB copy, Mxx=Mon, Tuxx=Tue, Wxx=Wed, Thxx=Thur, Fxx=Fri, Sxx=Sat, SAxx=Sun after, MAxx=Mon after,  Xxx=&gt;1 Week</t>
  </si>
  <si>
    <t>this step is to plan what files will need to be brought over from the local VAMC to BYN/PITC and how to deal with the conversion of VMS versioning</t>
  </si>
  <si>
    <t>Power Scribe / TalkTech / Transcription Systems
(Sites have a standard range of  Single Listener ports in BYN/PITC 1mn00 - 1mn99.  These single listeners should be changed to use one of the standard single listerner ports.)</t>
  </si>
  <si>
    <t>Load the current version of the Database Comparison Utilities into the Local VAMC instance and BYN/PITC "Shadow" instance.</t>
  </si>
  <si>
    <t>this is step PRE6 on the PRE-REQUISITES TAB</t>
  </si>
  <si>
    <t>Notify WAN Div Chief that the site's cache DB move will begin at COB on the date established above and DB shadowing will begin aproximately 3-5 days after.
R04 WAN Div Chief – Derek S. Leonard</t>
  </si>
  <si>
    <t>Validate Thursday's database comparisons of the Local VAMC's Production configuration and the BYN/PITC "Shadow" configuration was good.</t>
  </si>
  <si>
    <t xml:space="preserve">Verify if site has LabCorp or Other similar device.  
Provide Vendor information for Monday after failover support:
      1. Ticket number Posted in Site Survey: 
      2. Vendor Support POC in Site Survey:
      3. Vendor POC contact number in Site Survey:
</t>
  </si>
  <si>
    <t>F43</t>
  </si>
  <si>
    <t>Site / ESL</t>
  </si>
  <si>
    <r>
      <t xml:space="preserve">Confirm the participants needed on Technical LYNC Friday, Saturday and Monday are aware and invited:
• FCIO
• Any needed designated IT staff to handle communication/checks 
• Lab
• Pharmacy
• ER
• Surgery
• Biomedical 
• VistA Imaging
• AudioCare
• DNS Administrator
• Network LAN representative for ACLs
</t>
    </r>
    <r>
      <rPr>
        <b/>
        <sz val="9"/>
        <rFont val="Arial"/>
        <family val="2"/>
      </rPr>
      <t xml:space="preserve">
</t>
    </r>
    <r>
      <rPr>
        <b/>
        <sz val="9"/>
        <color rgb="FFFF0000"/>
        <rFont val="Arial"/>
        <family val="2"/>
      </rPr>
      <t>These identified staff need to be on the Migration Technical LYNC on Saturday _____  at _______</t>
    </r>
    <r>
      <rPr>
        <sz val="9"/>
        <rFont val="Arial"/>
        <family val="2"/>
      </rPr>
      <t xml:space="preserve">
</t>
    </r>
  </si>
  <si>
    <t>F44</t>
  </si>
  <si>
    <t>ESL/ Site</t>
  </si>
  <si>
    <t>ESL LAN / Biomed</t>
  </si>
  <si>
    <t>ESL should build a list of VLANS that need to be adjusted</t>
  </si>
  <si>
    <t>ESL HS/ESL Storage</t>
  </si>
  <si>
    <t>Review the communication plan.  Ensure ESL and site staff are aware of process for day of migration, so that all staff know who to contact when they arrive to start checking and how to notify team when the checks have been complete. ( bridge)</t>
  </si>
  <si>
    <t>ESL</t>
  </si>
  <si>
    <t>RESOURCES -  SITE, ESL, MIGRATION, ALL</t>
  </si>
  <si>
    <t>SITE /  ESL</t>
  </si>
  <si>
    <t>Site/ESL</t>
  </si>
  <si>
    <t>ESL HS / ESL Apps</t>
  </si>
  <si>
    <t>ESL / Site</t>
  </si>
  <si>
    <t>SITE / ESL</t>
  </si>
  <si>
    <t>BYN /PITC / ESL</t>
  </si>
  <si>
    <t xml:space="preserve">Import XML file for users and ROLES to access Cache on NDC (Need to enter the services and IP addresses manually – not imported) Note: May need to list all items that need to be imported.                                                         *After users are imported, Disable users HDR_USER and CDW_USER  on BYN/PITC Cache instance.
#Disable HDR Users:
sudo csession zzscdr#psvr -U%sys DHDR^ZNVSUPGUTL
JanusJLV as an export  
*Include ESLal Support staff such as Apps if needed.
</t>
  </si>
  <si>
    <t>Verify backup
1. Human check of logs.
2. Set up automatic e-mail notification of key staff (ESLal and local) when backup completes or fails.</t>
  </si>
  <si>
    <t>ESL HS / Apps</t>
  </si>
  <si>
    <t>ESL Apps / Site</t>
  </si>
  <si>
    <t>ESL Migration Team</t>
  </si>
  <si>
    <t>Complete and review the site specific list of applications to be tested and assign specific staff at the site that will perform the tests on cutover day.
i.e. complete the "SCD_VistA_Testing" document.</t>
  </si>
  <si>
    <t>PRIMARY</t>
  </si>
  <si>
    <t>DR</t>
  </si>
  <si>
    <t>Primary</t>
  </si>
  <si>
    <t>SP17</t>
  </si>
  <si>
    <t>Site / ESL COTs</t>
  </si>
  <si>
    <t xml:space="preserve">Verify that all site specific template cpf files are in place on the new cluster.  
(Primary and DR)
</t>
  </si>
  <si>
    <t xml:space="preserve">Verify the correct Cache.Key for the site is available on the new host cluster
(Primary and DR)
</t>
  </si>
  <si>
    <t>Device cleanup check on direct attached printers to PCs
Keeping track of terminal types being created in test. The week of, the terminal types will be added to production. Printers will need to be edited on the day of…special types as well on migration day.</t>
  </si>
  <si>
    <t>Verify that all sites have 7 days of journal files on disk. If team anticipates that the transfer and setup of the Prod DB to BYN/PITC will take more than 5 days consider that the site may need to set Backup to maintain 10+ days of journal files depending on how long it will take  to get the DB restored and shadowing started at BYN/PITC</t>
  </si>
  <si>
    <t xml:space="preserve">Database checks: Expand/collapse database size as needed - 20% growth space on BYN or PITC.
• Expand any databases as needed
Up to 2 GB expand by 100 meg , from 2-5 GB 200 meg, from 5-15GB 500 meg, 15GB and greater 1G
Allow 2 jumps to grow
• Check that each database has ability to auto-grow (example: add maxsize 200, 100 each for two jumps ) 
• Check to make sure ZTSHARE and XSHARE max sizes are capped, along with datasets
(Primary)
</t>
  </si>
  <si>
    <r>
      <t xml:space="preserve">the Regional Site Survey will be passed to sites individually based on the migration schedule
Return Regional Site Survey
be sure to identify all POC in survey (and alternate POC) that support the interconnected systems and will be available during day of migration
Verify that the site has an accurate and complete inventory of all systems that are connected to the production VistA system. (don't forget DOD connections and University affliates)
</t>
    </r>
    <r>
      <rPr>
        <b/>
        <sz val="9"/>
        <rFont val="Arial"/>
        <family val="2"/>
      </rPr>
      <t>Complete any Risk Register entries.</t>
    </r>
  </si>
  <si>
    <t xml:space="preserve">Capture coversheet load times before go-live </t>
  </si>
  <si>
    <r>
      <t xml:space="preserve">All ESL HS printer preparation has been completed in </t>
    </r>
    <r>
      <rPr>
        <b/>
        <sz val="9"/>
        <rFont val="Arial"/>
        <family val="2"/>
      </rPr>
      <t>Test account.</t>
    </r>
  </si>
  <si>
    <r>
      <t xml:space="preserve">FCIO to setup meeting for VHA testers to establish who will be on site for testing on the weekend and set expectations.
  Invitation and LYNC needs to be sent to </t>
    </r>
    <r>
      <rPr>
        <b/>
        <sz val="9"/>
        <rFont val="Arial"/>
        <family val="2"/>
      </rPr>
      <t>VA IT Region 4 VistA Migrations</t>
    </r>
    <r>
      <rPr>
        <sz val="9"/>
        <rFont val="Arial"/>
        <family val="2"/>
      </rPr>
      <t xml:space="preserve">
</t>
    </r>
  </si>
  <si>
    <t>ESL APPS</t>
  </si>
  <si>
    <t>If applicable, update MUNIN &amp; VistA Vitals</t>
  </si>
  <si>
    <t xml:space="preserve">D09 </t>
  </si>
  <si>
    <t xml:space="preserve">Review site info file siteinfo.conf to ensure 
-SCD is correct 
-the timezone is correct 
Create site specific VistA account on the Linux cluster
      xxxvista  (lowercase)
Remember to ensure that you also create the directory and appropriately edit the login script file so that this account will actually work on cutover day.
Done from RDP scripts when cache install is Done
(Primary and DR)
</t>
  </si>
  <si>
    <t>Primary
get all of the sub tasks from Rob and Kevin for this section to be able to validate all is setup correctly including the process limit, max server count</t>
  </si>
  <si>
    <r>
      <t xml:space="preserve">Local VAMC's Subnets -    Review and Adjust any ACLs on local VAMC's subnets. 
Clarification:  Look at the secure </t>
    </r>
    <r>
      <rPr>
        <b/>
        <sz val="9"/>
        <color rgb="FFFF0000"/>
        <rFont val="Arial"/>
        <family val="2"/>
      </rPr>
      <t>Medical Device VLANs</t>
    </r>
    <r>
      <rPr>
        <sz val="9"/>
        <rFont val="Arial"/>
        <family val="2"/>
      </rPr>
      <t>.  They need to be able to talk to the data center IP addresses (at both BYN and PITC) or these interfaces will not come up post-migration..</t>
    </r>
  </si>
  <si>
    <t xml:space="preserve">Make sure 2 Cache configs are available for the NEW production shadowed copy - the migration shadow configs will get renamed on the day of migration
Migration Shadow
SCDR4SHMS - ZZSCDR4PSVR
DR
SCDR4SSHD - ZZSCDR4PSVR
</t>
  </si>
  <si>
    <r>
      <rPr>
        <b/>
        <sz val="9"/>
        <color indexed="8"/>
        <rFont val="Arial"/>
        <family val="2"/>
      </rPr>
      <t xml:space="preserve">AUDIOCARE
</t>
    </r>
    <r>
      <rPr>
        <sz val="9"/>
        <color indexed="8"/>
        <rFont val="Arial"/>
        <family val="2"/>
      </rPr>
      <t xml:space="preserve">
1. Document date of restart of AudioCare, this should be done close to the 4 weeks prior to migration date.  (place date in comments)
Responsible party should do additional restart closer to actual Migration date to ensure all windows updates are applied. 
2. Verify SMTP address on physical Audiocare box:
Invoke user menu&gt;installed applications&gt;
Ctalk Utilities&gt;System Parameters&gt;
Set Mailman Server address Type to F (FQDN)
SMTP Address=ecp.site.med.va.gov/
Save Changes, Exit
3. If necessary arrange for AudioCare line to will be forwarded during downtime.
 </t>
    </r>
  </si>
  <si>
    <t xml:space="preserve">• Specify Site Contact here for Audiocare
• Check on the Audiocare CPF and the DB mapping
• If necessary, verify points of contact and plan in place to forward AudioCare during downtime.
List name(s):
</t>
  </si>
  <si>
    <t>16_</t>
  </si>
  <si>
    <r>
      <t xml:space="preserve">Work with site to comprehensively review existing print queues. Remove any print queues that are no longer in use and ensure that no LAT devices exist and that sites are not attaching bar code printers or other printers to PCs for captive printing from CPRS. 
</t>
    </r>
    <r>
      <rPr>
        <b/>
        <sz val="9"/>
        <color rgb="FFFF0000"/>
        <rFont val="Arial"/>
        <family val="2"/>
      </rPr>
      <t xml:space="preserve">COMPLETE CRITICAL PRINTER TESTING 
FCIO is to ensure that each service has sufficient testers assigned for printer testing
</t>
    </r>
  </si>
  <si>
    <t>N15</t>
  </si>
  <si>
    <t xml:space="preserve">Confirm acceptable amount of Printer Testing completed
This includes all critical printing with checks on output formatting
</t>
  </si>
  <si>
    <t>ESL / FCIO</t>
  </si>
  <si>
    <t xml:space="preserve">NDCP / ESL HS  </t>
  </si>
  <si>
    <r>
      <t xml:space="preserve">Verify review received from Capacity and Performance Engineering and posted on Site’s SharePoint folder. 
Forward Capacity review document to participants of Site Overall Checklist call.
Verify virtual FE nodes sized per latest assessment predicted Tier.
</t>
    </r>
    <r>
      <rPr>
        <sz val="9"/>
        <color rgb="FFFF0000"/>
        <rFont val="Arial"/>
        <family val="2"/>
      </rPr>
      <t>Input recommendations</t>
    </r>
    <r>
      <rPr>
        <sz val="9"/>
        <rFont val="Arial"/>
        <family val="2"/>
      </rPr>
      <t xml:space="preserve"> for VM FE nodes CPU and MEM (reference Region 4 Capacity Assessment Exec Summary created 3/20/2017)
</t>
    </r>
    <r>
      <rPr>
        <sz val="9"/>
        <color rgb="FFFF0000"/>
        <rFont val="Arial"/>
        <family val="2"/>
      </rPr>
      <t>vFE Nodes ___   Tier ___ vCPU ___     MEM ___ (GB)</t>
    </r>
    <r>
      <rPr>
        <sz val="9"/>
        <rFont val="Arial"/>
        <family val="2"/>
      </rPr>
      <t xml:space="preserve">
</t>
    </r>
  </si>
  <si>
    <t>FCIO / Site / Biomed / ESL COTS / ESL HS</t>
  </si>
  <si>
    <t>ITOP HS</t>
  </si>
  <si>
    <t>Site / ITOP HS</t>
  </si>
  <si>
    <t xml:space="preserve">Review the Monday Tasks and modify as appropriate based on the decision and/or any additional information that has been gathered from the site, VISN, ESL, and ITOP HS Health Systems.
Ensure staff are aware that they need to be on Migration Technical LYNC to report status of their areas or to assign a designee.
</t>
  </si>
  <si>
    <t>ITOPS HS</t>
  </si>
  <si>
    <t>ESL / Site / ITOPS HS</t>
  </si>
  <si>
    <t>ITOPS HS Support</t>
  </si>
  <si>
    <t xml:space="preserve">ESL Apps  </t>
  </si>
  <si>
    <t>ITOPS HS / FCIO</t>
  </si>
  <si>
    <t>ESL/ITOPS HS</t>
  </si>
  <si>
    <t>ESL / ITOPS HS</t>
  </si>
  <si>
    <t xml:space="preserve">ESL/ITOPS HS </t>
  </si>
  <si>
    <t>ESL/ ITOPS HS</t>
  </si>
  <si>
    <t>Send a HEADS UP message to EPMO Capacity and Performance Engineers to perform their review.</t>
  </si>
  <si>
    <t>ESL COTS / Site
(ESL HS R4 reported  complete for all sites)</t>
  </si>
  <si>
    <t xml:space="preserve">Copy HDRSQL databases to their appropriate location
FInd location for SQLHDR dat by checking the production cpf and then cd to it.
Make sure to sudo su  (so you can write to the directory)
Obtain HDRDAT-10_3_17_65-CACHE2014.ZIP File 
sftp&gt;HDR@10.5.21.65 or 10.5.21.66    (or 10.5.21.66)
Password: XXXXXXxx (enter correct password)
sftp&gt;get HDRDAT-10_3_17_65-CACHE2014.ZIP (or latest version for cache2014)
sftp&gt; bye 
unzip HDRDAT-10_3_17_65-CACHE2014.ZIP
chmod 660 CACHE.DAT
chown scdcachemgr:scdcacheusr CACHE.DAT
rm HDRDAT-10_3_17_65-CACHE2014.ZIP (downloaded zip file)
cd to the location for the HDSHDR dat file
Get the blank HDSHDR dat file from download.vista.med.va.gov
sftp anonymous@download.vista.med.va.gov
cd [.ndc]
get HDSHDR.ZIP
unzip the HDSHDR.ZIP
chmod 660 CACHE.DAT
chown scdcachemgr:scdcacheusr CACHE.DAT
rm HDSHDR.ZIP
</t>
  </si>
  <si>
    <t xml:space="preserve">List all VistA packages that site is testing for developers, specify patch number and in Test or Production.
site cannot volunteer to test any new packages or patches until after migration
</t>
  </si>
  <si>
    <r>
      <t>Verify that the Lab ADPAC and IRM support staff have spoken with applicable (i.e. RalsPlus) vendors about updating their server on cutover day AND that they have spoken with their counterparts at remote LEDI facilities to coordinate updating of the LEDI links on cutover day (BioMed and IRM).    
Verify if site has LabCorp or other similar device.  
Provide Vendor information for</t>
    </r>
    <r>
      <rPr>
        <b/>
        <sz val="9"/>
        <color rgb="FFFF0000"/>
        <rFont val="Arial"/>
        <family val="2"/>
      </rPr>
      <t xml:space="preserve"> Monday AM</t>
    </r>
    <r>
      <rPr>
        <sz val="9"/>
        <rFont val="Arial"/>
        <family val="2"/>
      </rPr>
      <t xml:space="preserve"> after failover support:
      1. Ticket number Posted in Site Survey 
      2. Vendor Support POC in Site Survey
      3. Verify vendor POC contact number in Site Survey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</si>
</sst>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d\ h:mm\ AM/PM"/>
    <numFmt numFmtId="165" formatCode="[$-409]m/d/yy\ h:mm\ AM/PM;@"/>
  </numFmts>
  <fonts count="65" x14ac:knownFonts="1">
    <font>
      <sz val="10"/>
      <name val="Arial"/>
    </font>
    <font>
      <sz val="10"/>
      <name val="Arial"/>
      <family val="2"/>
    </font>
    <font>
      <b/>
      <sz val="9"/>
      <color indexed="10"/>
      <name val="Arial"/>
      <family val="2"/>
    </font>
    <font>
      <b/>
      <sz val="9"/>
      <name val="Arial"/>
      <family val="2"/>
    </font>
    <font>
      <sz val="9"/>
      <name val="Arial"/>
      <family val="2"/>
    </font>
    <font>
      <b/>
      <sz val="7"/>
      <color indexed="10"/>
      <name val="Arial"/>
      <family val="2"/>
    </font>
    <font>
      <b/>
      <sz val="8"/>
      <name val="Arial"/>
      <family val="2"/>
    </font>
    <font>
      <b/>
      <sz val="12"/>
      <color indexed="9"/>
      <name val="Arial"/>
      <family val="2"/>
    </font>
    <font>
      <sz val="12"/>
      <color indexed="9"/>
      <name val="Arial"/>
      <family val="2"/>
    </font>
    <font>
      <sz val="8"/>
      <name val="Arial"/>
      <family val="2"/>
    </font>
    <font>
      <b/>
      <sz val="10"/>
      <name val="Arial"/>
      <family val="2"/>
    </font>
    <font>
      <b/>
      <sz val="14"/>
      <name val="Times New Roman"/>
      <family val="1"/>
    </font>
    <font>
      <b/>
      <sz val="12"/>
      <name val="Times New Roman"/>
      <family val="1"/>
    </font>
    <font>
      <sz val="12"/>
      <name val="Times New Roman"/>
      <family val="1"/>
    </font>
    <font>
      <u/>
      <sz val="10"/>
      <color indexed="12"/>
      <name val="Arial"/>
      <family val="2"/>
    </font>
    <font>
      <sz val="9"/>
      <color indexed="8"/>
      <name val="Arial"/>
      <family val="2"/>
    </font>
    <font>
      <b/>
      <sz val="11"/>
      <color indexed="8"/>
      <name val="Arial"/>
      <family val="2"/>
    </font>
    <font>
      <b/>
      <sz val="11"/>
      <name val="Arial"/>
      <family val="2"/>
    </font>
    <font>
      <sz val="8"/>
      <name val="Arial"/>
      <family val="2"/>
    </font>
    <font>
      <b/>
      <sz val="8"/>
      <color indexed="10"/>
      <name val="Arial"/>
      <family val="2"/>
    </font>
    <font>
      <sz val="9"/>
      <name val="Arial"/>
      <family val="2"/>
    </font>
    <font>
      <sz val="10"/>
      <name val="Arial"/>
      <family val="2"/>
    </font>
    <font>
      <b/>
      <sz val="8.5"/>
      <color indexed="10"/>
      <name val="Arial"/>
      <family val="2"/>
    </font>
    <font>
      <b/>
      <sz val="9"/>
      <color indexed="43"/>
      <name val="Arial"/>
      <family val="2"/>
    </font>
    <font>
      <sz val="9"/>
      <color indexed="10"/>
      <name val="Arial"/>
      <family val="2"/>
    </font>
    <font>
      <b/>
      <sz val="9"/>
      <color indexed="16"/>
      <name val="Arial"/>
      <family val="2"/>
    </font>
    <font>
      <b/>
      <sz val="14"/>
      <color indexed="9"/>
      <name val="Arial"/>
      <family val="2"/>
    </font>
    <font>
      <sz val="14"/>
      <name val="Arial"/>
      <family val="2"/>
    </font>
    <font>
      <b/>
      <sz val="7"/>
      <color indexed="16"/>
      <name val="Arial"/>
      <family val="2"/>
    </font>
    <font>
      <b/>
      <sz val="10"/>
      <color indexed="16"/>
      <name val="Arial"/>
      <family val="2"/>
    </font>
    <font>
      <b/>
      <sz val="14"/>
      <name val="Arial"/>
      <family val="2"/>
    </font>
    <font>
      <b/>
      <i/>
      <sz val="9"/>
      <color indexed="10"/>
      <name val="Arial"/>
      <family val="2"/>
    </font>
    <font>
      <b/>
      <u/>
      <sz val="9"/>
      <color indexed="10"/>
      <name val="Arial"/>
      <family val="2"/>
    </font>
    <font>
      <b/>
      <u/>
      <sz val="9"/>
      <name val="Arial"/>
      <family val="2"/>
    </font>
    <font>
      <b/>
      <sz val="9"/>
      <color indexed="12"/>
      <name val="Arial"/>
      <family val="2"/>
    </font>
    <font>
      <b/>
      <sz val="9"/>
      <name val="Times New Roman"/>
      <family val="1"/>
    </font>
    <font>
      <b/>
      <i/>
      <sz val="10"/>
      <name val="Arial"/>
      <family val="2"/>
    </font>
    <font>
      <strike/>
      <sz val="8"/>
      <name val="Arial"/>
      <family val="2"/>
    </font>
    <font>
      <strike/>
      <sz val="9"/>
      <name val="Arial"/>
      <family val="2"/>
    </font>
    <font>
      <b/>
      <strike/>
      <sz val="9"/>
      <name val="Arial"/>
      <family val="2"/>
    </font>
    <font>
      <b/>
      <sz val="9"/>
      <color rgb="FFFF0000"/>
      <name val="Arial"/>
      <family val="2"/>
    </font>
    <font>
      <b/>
      <i/>
      <sz val="9"/>
      <color rgb="FFFF0000"/>
      <name val="Arial"/>
      <family val="2"/>
    </font>
    <font>
      <i/>
      <sz val="9"/>
      <color rgb="FFFF0000"/>
      <name val="Arial"/>
      <family val="2"/>
    </font>
    <font>
      <sz val="9"/>
      <color rgb="FFFF0000"/>
      <name val="Arial"/>
      <family val="2"/>
    </font>
    <font>
      <b/>
      <i/>
      <sz val="9"/>
      <color indexed="8"/>
      <name val="Arial"/>
      <family val="2"/>
    </font>
    <font>
      <sz val="9"/>
      <color theme="3" tint="-0.249977111117893"/>
      <name val="Arial"/>
      <family val="2"/>
    </font>
    <font>
      <b/>
      <sz val="9"/>
      <color theme="3" tint="-0.249977111117893"/>
      <name val="Arial"/>
      <family val="2"/>
    </font>
    <font>
      <b/>
      <sz val="9"/>
      <color theme="3" tint="0.39997558519241921"/>
      <name val="Arial"/>
      <family val="2"/>
    </font>
    <font>
      <b/>
      <sz val="12"/>
      <color rgb="FFFF0000"/>
      <name val="Arial"/>
      <family val="2"/>
    </font>
    <font>
      <sz val="10"/>
      <color rgb="FFFF0000"/>
      <name val="Arial"/>
      <family val="2"/>
    </font>
    <font>
      <sz val="9"/>
      <name val="Arial"/>
      <family val="2"/>
    </font>
    <font>
      <sz val="9"/>
      <color theme="1"/>
      <name val="Arial"/>
      <family val="2"/>
    </font>
    <font>
      <sz val="10"/>
      <name val="Arial"/>
      <family val="2"/>
    </font>
    <font>
      <i/>
      <sz val="14"/>
      <name val="Arial"/>
      <family val="2"/>
    </font>
    <font>
      <i/>
      <sz val="12"/>
      <name val="Arial"/>
      <family val="2"/>
    </font>
    <font>
      <sz val="10"/>
      <color theme="1"/>
      <name val="Arial"/>
      <family val="2"/>
    </font>
    <font>
      <sz val="10"/>
      <color rgb="FF000000"/>
      <name val="Arial"/>
      <family val="2"/>
    </font>
    <font>
      <sz val="8"/>
      <color theme="1"/>
      <name val="r_ansi"/>
      <family val="3"/>
    </font>
    <font>
      <b/>
      <sz val="8"/>
      <color theme="1"/>
      <name val="r_ansi"/>
      <family val="3"/>
    </font>
    <font>
      <b/>
      <sz val="9"/>
      <color theme="1"/>
      <name val="Arial"/>
      <family val="2"/>
    </font>
    <font>
      <sz val="11"/>
      <color rgb="FF000000"/>
      <name val="Calibri"/>
      <family val="2"/>
    </font>
    <font>
      <b/>
      <u/>
      <sz val="9"/>
      <color theme="1"/>
      <name val="Arial"/>
      <family val="2"/>
    </font>
    <font>
      <sz val="9"/>
      <color theme="3" tint="0.39997558519241921"/>
      <name val="Arial"/>
      <family val="2"/>
    </font>
    <font>
      <b/>
      <sz val="9"/>
      <color theme="4"/>
      <name val="Arial"/>
      <family val="2"/>
    </font>
    <font>
      <b/>
      <sz val="9"/>
      <color indexed="8"/>
      <name val="Arial"/>
      <family val="2"/>
    </font>
  </fonts>
  <fills count="23">
    <fill>
      <patternFill patternType="none"/>
    </fill>
    <fill>
      <patternFill patternType="gray125"/>
    </fill>
    <fill>
      <patternFill patternType="solid">
        <fgColor indexed="45"/>
        <bgColor indexed="64"/>
      </patternFill>
    </fill>
    <fill>
      <patternFill patternType="solid">
        <fgColor indexed="13"/>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11"/>
        <bgColor indexed="64"/>
      </patternFill>
    </fill>
    <fill>
      <patternFill patternType="solid">
        <fgColor indexed="41"/>
        <bgColor indexed="64"/>
      </patternFill>
    </fill>
    <fill>
      <patternFill patternType="solid">
        <fgColor indexed="9"/>
        <bgColor indexed="64"/>
      </patternFill>
    </fill>
    <fill>
      <patternFill patternType="solid">
        <fgColor indexed="46"/>
        <bgColor indexed="64"/>
      </patternFill>
    </fill>
    <fill>
      <patternFill patternType="solid">
        <fgColor indexed="46"/>
        <bgColor indexed="43"/>
      </patternFill>
    </fill>
    <fill>
      <patternFill patternType="solid">
        <fgColor indexed="24"/>
        <bgColor indexed="64"/>
      </patternFill>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rgb="FFFF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99"/>
        <bgColor indexed="64"/>
      </patternFill>
    </fill>
    <fill>
      <patternFill patternType="solid">
        <fgColor rgb="FF00B0F0"/>
        <bgColor indexed="64"/>
      </patternFill>
    </fill>
    <fill>
      <patternFill patternType="solid">
        <fgColor theme="7" tint="0.59999389629810485"/>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medium">
        <color indexed="64"/>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s>
  <cellStyleXfs count="7">
    <xf numFmtId="0" fontId="0" fillId="0" borderId="0"/>
    <xf numFmtId="0" fontId="14" fillId="0" borderId="0" applyNumberFormat="0" applyFill="0" applyBorder="0" applyAlignment="0" applyProtection="0">
      <alignment vertical="top"/>
      <protection locked="0"/>
    </xf>
    <xf numFmtId="0" fontId="21" fillId="0" borderId="0"/>
    <xf numFmtId="9" fontId="52" fillId="0" borderId="0" applyFont="0" applyFill="0" applyBorder="0" applyAlignment="0" applyProtection="0"/>
    <xf numFmtId="0" fontId="1" fillId="0" borderId="0"/>
    <xf numFmtId="0" fontId="1" fillId="0" borderId="0"/>
    <xf numFmtId="9" fontId="1" fillId="0" borderId="0" applyFont="0" applyFill="0" applyBorder="0" applyAlignment="0" applyProtection="0"/>
  </cellStyleXfs>
  <cellXfs count="497">
    <xf numFmtId="0" fontId="0" fillId="0" borderId="0" xfId="0"/>
    <xf numFmtId="164" fontId="4" fillId="2" borderId="1" xfId="0" applyNumberFormat="1" applyFont="1" applyFill="1" applyBorder="1" applyAlignment="1">
      <alignment horizontal="center"/>
    </xf>
    <xf numFmtId="0" fontId="4" fillId="3" borderId="2" xfId="0" applyFont="1" applyFill="1" applyBorder="1" applyAlignment="1">
      <alignment horizontal="left"/>
    </xf>
    <xf numFmtId="0" fontId="4" fillId="4" borderId="2" xfId="0" applyFont="1" applyFill="1" applyBorder="1" applyAlignment="1">
      <alignment horizontal="left"/>
    </xf>
    <xf numFmtId="0" fontId="4" fillId="5" borderId="1" xfId="0" applyFont="1" applyFill="1" applyBorder="1" applyAlignment="1">
      <alignment horizontal="left"/>
    </xf>
    <xf numFmtId="164" fontId="4" fillId="6" borderId="1" xfId="0" applyNumberFormat="1" applyFont="1" applyFill="1" applyBorder="1" applyAlignment="1">
      <alignment horizontal="center" wrapText="1"/>
    </xf>
    <xf numFmtId="0" fontId="5" fillId="7" borderId="3" xfId="0" applyFont="1" applyFill="1" applyBorder="1" applyAlignment="1">
      <alignment horizontal="center"/>
    </xf>
    <xf numFmtId="0" fontId="10" fillId="0" borderId="0" xfId="0" applyFont="1"/>
    <xf numFmtId="0" fontId="0" fillId="8" borderId="0" xfId="0" applyFill="1"/>
    <xf numFmtId="0" fontId="11" fillId="0" borderId="0" xfId="0" applyFont="1" applyAlignment="1">
      <alignment horizontal="center"/>
    </xf>
    <xf numFmtId="0" fontId="12" fillId="0" borderId="0" xfId="0" applyFont="1" applyAlignment="1">
      <alignment horizontal="center"/>
    </xf>
    <xf numFmtId="0" fontId="13" fillId="0" borderId="0" xfId="0" applyFont="1"/>
    <xf numFmtId="0" fontId="13" fillId="0" borderId="0" xfId="0" applyFont="1" applyAlignment="1">
      <alignment horizontal="left" indent="1"/>
    </xf>
    <xf numFmtId="0" fontId="4" fillId="0" borderId="2" xfId="0" applyFont="1" applyBorder="1" applyAlignment="1">
      <alignment horizontal="center" vertical="center" wrapText="1"/>
    </xf>
    <xf numFmtId="0" fontId="4" fillId="0" borderId="2" xfId="0" applyFont="1" applyBorder="1" applyAlignment="1">
      <alignment vertical="top" wrapText="1"/>
    </xf>
    <xf numFmtId="0" fontId="4" fillId="4" borderId="2" xfId="0" applyFont="1" applyFill="1" applyBorder="1" applyAlignment="1">
      <alignment horizontal="center" vertical="center"/>
    </xf>
    <xf numFmtId="0" fontId="0" fillId="4" borderId="2" xfId="0" applyFill="1" applyBorder="1"/>
    <xf numFmtId="0" fontId="4" fillId="0" borderId="2" xfId="0" applyFont="1" applyFill="1" applyBorder="1" applyAlignment="1">
      <alignment vertical="top" wrapText="1"/>
    </xf>
    <xf numFmtId="0" fontId="19" fillId="0" borderId="2" xfId="0" applyFont="1" applyBorder="1" applyAlignment="1">
      <alignment horizontal="center" vertical="center" wrapText="1"/>
    </xf>
    <xf numFmtId="0" fontId="1" fillId="0" borderId="0" xfId="0" applyFont="1"/>
    <xf numFmtId="2" fontId="4" fillId="0" borderId="2" xfId="0" applyNumberFormat="1" applyFont="1" applyFill="1" applyBorder="1" applyAlignment="1">
      <alignment vertical="top" wrapText="1"/>
    </xf>
    <xf numFmtId="0" fontId="1" fillId="4" borderId="2" xfId="0" applyFont="1" applyFill="1" applyBorder="1" applyAlignment="1">
      <alignment vertical="top" wrapText="1"/>
    </xf>
    <xf numFmtId="0" fontId="21" fillId="4" borderId="2" xfId="0" applyFont="1" applyFill="1" applyBorder="1" applyAlignment="1">
      <alignment vertical="top" wrapText="1"/>
    </xf>
    <xf numFmtId="0" fontId="0" fillId="0" borderId="0" xfId="0" applyAlignment="1">
      <alignment wrapText="1"/>
    </xf>
    <xf numFmtId="0" fontId="4" fillId="0" borderId="2" xfId="0" applyFont="1" applyFill="1" applyBorder="1" applyAlignment="1">
      <alignment horizontal="center" vertical="center" wrapText="1"/>
    </xf>
    <xf numFmtId="49" fontId="4" fillId="0" borderId="2" xfId="0" applyNumberFormat="1" applyFont="1" applyFill="1" applyBorder="1" applyAlignment="1">
      <alignment horizontal="center" vertical="center" wrapText="1"/>
    </xf>
    <xf numFmtId="0" fontId="25" fillId="4" borderId="5" xfId="0" applyFont="1" applyFill="1" applyBorder="1" applyAlignment="1">
      <alignment horizontal="center" vertical="center"/>
    </xf>
    <xf numFmtId="0" fontId="4" fillId="9" borderId="2" xfId="0" applyFont="1" applyFill="1" applyBorder="1" applyAlignment="1">
      <alignment vertical="top" wrapText="1"/>
    </xf>
    <xf numFmtId="0" fontId="0" fillId="0" borderId="2" xfId="0" applyBorder="1"/>
    <xf numFmtId="0" fontId="4" fillId="0" borderId="2" xfId="0" applyFont="1" applyFill="1" applyBorder="1" applyAlignment="1">
      <alignment horizontal="center" vertical="center"/>
    </xf>
    <xf numFmtId="0" fontId="15" fillId="0" borderId="2" xfId="0" applyFont="1" applyFill="1" applyBorder="1" applyAlignment="1">
      <alignment vertical="top" wrapText="1"/>
    </xf>
    <xf numFmtId="0" fontId="23" fillId="10" borderId="9" xfId="0" applyFont="1" applyFill="1" applyBorder="1" applyAlignment="1">
      <alignment horizontal="center" vertical="center"/>
    </xf>
    <xf numFmtId="0" fontId="17" fillId="10" borderId="10" xfId="0" applyFont="1" applyFill="1" applyBorder="1" applyAlignment="1">
      <alignment horizontal="left" vertical="center"/>
    </xf>
    <xf numFmtId="0" fontId="4" fillId="0" borderId="0" xfId="0" applyFont="1" applyBorder="1" applyAlignment="1">
      <alignment vertical="top" wrapText="1"/>
    </xf>
    <xf numFmtId="0" fontId="0" fillId="0" borderId="0" xfId="0" applyBorder="1"/>
    <xf numFmtId="0" fontId="22" fillId="0" borderId="2" xfId="0" applyFont="1" applyBorder="1" applyAlignment="1">
      <alignment horizontal="center" vertical="center" wrapText="1"/>
    </xf>
    <xf numFmtId="49" fontId="4" fillId="0" borderId="2" xfId="0" applyNumberFormat="1" applyFont="1" applyFill="1" applyBorder="1" applyAlignment="1">
      <alignment horizontal="left" vertical="top" wrapText="1"/>
    </xf>
    <xf numFmtId="0" fontId="8" fillId="10" borderId="10" xfId="0" applyFont="1" applyFill="1" applyBorder="1" applyAlignment="1">
      <alignment horizontal="center" vertical="center"/>
    </xf>
    <xf numFmtId="49" fontId="0" fillId="0" borderId="2" xfId="0" applyNumberFormat="1" applyBorder="1" applyAlignment="1">
      <alignment horizontal="center"/>
    </xf>
    <xf numFmtId="49" fontId="4" fillId="0" borderId="2" xfId="0" applyNumberFormat="1" applyFont="1" applyFill="1" applyBorder="1" applyAlignment="1">
      <alignment horizontal="center" vertical="center"/>
    </xf>
    <xf numFmtId="49" fontId="25" fillId="4" borderId="5" xfId="0" applyNumberFormat="1" applyFont="1" applyFill="1" applyBorder="1" applyAlignment="1">
      <alignment horizontal="center" vertical="center"/>
    </xf>
    <xf numFmtId="49" fontId="0" fillId="0" borderId="0" xfId="0" applyNumberFormat="1"/>
    <xf numFmtId="49" fontId="4" fillId="0" borderId="1" xfId="0" applyNumberFormat="1" applyFont="1" applyFill="1" applyBorder="1" applyAlignment="1">
      <alignment horizontal="center" vertical="center" wrapText="1"/>
    </xf>
    <xf numFmtId="49" fontId="8" fillId="10" borderId="10" xfId="0" applyNumberFormat="1" applyFont="1" applyFill="1" applyBorder="1" applyAlignment="1">
      <alignment horizontal="center" vertical="center"/>
    </xf>
    <xf numFmtId="49" fontId="4" fillId="0" borderId="2" xfId="0" applyNumberFormat="1" applyFont="1" applyBorder="1" applyAlignment="1">
      <alignment horizontal="center" vertical="center" wrapText="1"/>
    </xf>
    <xf numFmtId="49" fontId="4" fillId="9" borderId="2" xfId="0" applyNumberFormat="1" applyFont="1" applyFill="1" applyBorder="1" applyAlignment="1">
      <alignment horizontal="center" vertical="center" wrapText="1"/>
    </xf>
    <xf numFmtId="0" fontId="19" fillId="9" borderId="2" xfId="0" applyFont="1" applyFill="1" applyBorder="1" applyAlignment="1" applyProtection="1">
      <alignment horizontal="center" vertical="center" wrapText="1"/>
      <protection locked="0"/>
    </xf>
    <xf numFmtId="49" fontId="0" fillId="0" borderId="2" xfId="0" applyNumberFormat="1" applyBorder="1"/>
    <xf numFmtId="0" fontId="7" fillId="10" borderId="9" xfId="0" applyFont="1" applyFill="1" applyBorder="1" applyAlignment="1">
      <alignment horizontal="center" vertical="center"/>
    </xf>
    <xf numFmtId="0" fontId="4" fillId="0" borderId="15" xfId="0" applyFont="1" applyFill="1" applyBorder="1" applyAlignment="1">
      <alignment vertical="top" wrapText="1"/>
    </xf>
    <xf numFmtId="49" fontId="4" fillId="0" borderId="15" xfId="0" applyNumberFormat="1" applyFont="1" applyFill="1" applyBorder="1" applyAlignment="1">
      <alignment horizontal="center" vertical="center" wrapText="1"/>
    </xf>
    <xf numFmtId="0" fontId="0" fillId="0" borderId="0" xfId="0" applyFill="1" applyBorder="1"/>
    <xf numFmtId="0" fontId="18" fillId="4" borderId="2" xfId="0" applyFont="1" applyFill="1" applyBorder="1" applyAlignment="1">
      <alignment horizontal="center" vertical="center"/>
    </xf>
    <xf numFmtId="0" fontId="21" fillId="0" borderId="0" xfId="0" applyFont="1"/>
    <xf numFmtId="0" fontId="1" fillId="0" borderId="0" xfId="0" applyFont="1" applyBorder="1"/>
    <xf numFmtId="0" fontId="0" fillId="0" borderId="0" xfId="0" applyAlignment="1">
      <alignment horizontal="center"/>
    </xf>
    <xf numFmtId="0" fontId="19" fillId="0" borderId="2" xfId="0" applyFont="1" applyFill="1" applyBorder="1" applyAlignment="1">
      <alignment horizontal="center" vertical="center"/>
    </xf>
    <xf numFmtId="0" fontId="3" fillId="0" borderId="0" xfId="0" applyFont="1" applyFill="1" applyBorder="1" applyAlignment="1">
      <alignment horizontal="center" vertical="center" wrapText="1"/>
    </xf>
    <xf numFmtId="0" fontId="19" fillId="0" borderId="0" xfId="0" applyFont="1" applyAlignment="1">
      <alignment horizontal="center" vertical="center"/>
    </xf>
    <xf numFmtId="0" fontId="4" fillId="0" borderId="2" xfId="0" applyFont="1" applyBorder="1" applyAlignment="1">
      <alignment wrapText="1"/>
    </xf>
    <xf numFmtId="0" fontId="0" fillId="0" borderId="2" xfId="0" applyBorder="1" applyAlignment="1">
      <alignment horizontal="center" vertical="center"/>
    </xf>
    <xf numFmtId="0" fontId="3" fillId="0" borderId="2" xfId="0" applyFont="1" applyFill="1" applyBorder="1" applyAlignment="1">
      <alignment horizontal="center" vertical="center" wrapText="1"/>
    </xf>
    <xf numFmtId="0" fontId="3" fillId="0" borderId="2" xfId="0" applyFont="1" applyFill="1" applyBorder="1" applyAlignment="1">
      <alignment vertical="center" wrapText="1"/>
    </xf>
    <xf numFmtId="49" fontId="4" fillId="0" borderId="2" xfId="0" applyNumberFormat="1" applyFont="1" applyBorder="1"/>
    <xf numFmtId="0" fontId="4" fillId="0" borderId="0" xfId="0" applyFont="1" applyAlignment="1">
      <alignment wrapText="1"/>
    </xf>
    <xf numFmtId="0" fontId="14" fillId="4" borderId="2" xfId="1" applyFill="1" applyBorder="1" applyAlignment="1" applyProtection="1">
      <alignment vertical="top" wrapText="1"/>
    </xf>
    <xf numFmtId="0" fontId="1" fillId="0" borderId="2" xfId="0" applyFont="1" applyBorder="1"/>
    <xf numFmtId="0" fontId="21" fillId="0" borderId="2" xfId="0" applyFont="1" applyBorder="1" applyAlignment="1">
      <alignment horizontal="left" vertical="top"/>
    </xf>
    <xf numFmtId="0" fontId="10" fillId="0" borderId="19" xfId="0" applyFont="1" applyBorder="1"/>
    <xf numFmtId="0" fontId="10" fillId="0" borderId="20" xfId="0" applyFont="1" applyBorder="1"/>
    <xf numFmtId="0" fontId="0" fillId="0" borderId="0" xfId="0" applyFill="1"/>
    <xf numFmtId="0" fontId="21" fillId="0" borderId="0" xfId="2"/>
    <xf numFmtId="49" fontId="21" fillId="0" borderId="0" xfId="2" applyNumberFormat="1"/>
    <xf numFmtId="0" fontId="18" fillId="0" borderId="0" xfId="2" applyFont="1"/>
    <xf numFmtId="0" fontId="3" fillId="0" borderId="7" xfId="2" applyFont="1" applyFill="1" applyBorder="1" applyAlignment="1">
      <alignment horizontal="center" vertical="center" wrapText="1"/>
    </xf>
    <xf numFmtId="0" fontId="4" fillId="0" borderId="2" xfId="2" applyFont="1" applyFill="1" applyBorder="1" applyAlignment="1">
      <alignment vertical="top" wrapText="1"/>
    </xf>
    <xf numFmtId="0" fontId="3" fillId="0" borderId="7" xfId="2" applyFont="1" applyBorder="1" applyAlignment="1">
      <alignment horizontal="center" vertical="center" wrapText="1"/>
    </xf>
    <xf numFmtId="49" fontId="21" fillId="0" borderId="2" xfId="2" applyNumberFormat="1" applyBorder="1"/>
    <xf numFmtId="49" fontId="3" fillId="0" borderId="1" xfId="2" applyNumberFormat="1" applyFont="1" applyFill="1" applyBorder="1" applyAlignment="1">
      <alignment horizontal="center" vertical="center"/>
    </xf>
    <xf numFmtId="0" fontId="39" fillId="0" borderId="2" xfId="0" applyFont="1" applyFill="1" applyBorder="1" applyAlignment="1">
      <alignment horizontal="center" vertical="center" wrapText="1"/>
    </xf>
    <xf numFmtId="0" fontId="37" fillId="4" borderId="2" xfId="0" applyFont="1" applyFill="1" applyBorder="1" applyAlignment="1">
      <alignment horizontal="center" vertical="center"/>
    </xf>
    <xf numFmtId="0" fontId="21" fillId="0" borderId="0" xfId="2" applyAlignment="1">
      <alignment horizontal="center" vertical="center"/>
    </xf>
    <xf numFmtId="0" fontId="21" fillId="0" borderId="2" xfId="0" applyFont="1" applyBorder="1" applyAlignment="1">
      <alignment horizontal="center" vertical="center"/>
    </xf>
    <xf numFmtId="0" fontId="2" fillId="0" borderId="2" xfId="0" applyFont="1" applyFill="1" applyBorder="1" applyAlignment="1">
      <alignment horizontal="center" vertical="center"/>
    </xf>
    <xf numFmtId="0" fontId="0" fillId="0" borderId="0" xfId="0" applyAlignment="1">
      <alignment horizontal="center" vertical="center"/>
    </xf>
    <xf numFmtId="0" fontId="15" fillId="0" borderId="2" xfId="0" applyFont="1" applyFill="1" applyBorder="1" applyAlignment="1">
      <alignment horizontal="center" vertical="center" wrapText="1"/>
    </xf>
    <xf numFmtId="0" fontId="21" fillId="4" borderId="2" xfId="0" applyFont="1" applyFill="1" applyBorder="1" applyAlignment="1">
      <alignment horizontal="center" vertical="top" wrapText="1"/>
    </xf>
    <xf numFmtId="0" fontId="0" fillId="0" borderId="22" xfId="0" applyBorder="1"/>
    <xf numFmtId="0" fontId="4" fillId="0" borderId="22" xfId="0" applyFont="1" applyBorder="1" applyAlignment="1">
      <alignment horizontal="center" vertical="center"/>
    </xf>
    <xf numFmtId="49" fontId="38" fillId="0" borderId="2" xfId="0" applyNumberFormat="1" applyFont="1" applyFill="1" applyBorder="1" applyAlignment="1">
      <alignment horizontal="center" vertical="center"/>
    </xf>
    <xf numFmtId="49" fontId="21" fillId="0" borderId="2" xfId="0" applyNumberFormat="1" applyFont="1" applyBorder="1" applyAlignment="1">
      <alignment wrapText="1"/>
    </xf>
    <xf numFmtId="0" fontId="21" fillId="4" borderId="15" xfId="0" applyFont="1" applyFill="1" applyBorder="1" applyAlignment="1">
      <alignment vertical="top" wrapText="1"/>
    </xf>
    <xf numFmtId="49" fontId="3" fillId="0" borderId="2" xfId="0" applyNumberFormat="1" applyFont="1" applyFill="1" applyBorder="1" applyAlignment="1">
      <alignment horizontal="left" vertical="center" wrapText="1"/>
    </xf>
    <xf numFmtId="0" fontId="40" fillId="0" borderId="2" xfId="0" applyFont="1" applyFill="1" applyBorder="1" applyAlignment="1">
      <alignment horizontal="center" vertical="top" wrapText="1"/>
    </xf>
    <xf numFmtId="0" fontId="8" fillId="10" borderId="2" xfId="0" applyFont="1" applyFill="1" applyBorder="1" applyAlignment="1">
      <alignment horizontal="center" vertical="center"/>
    </xf>
    <xf numFmtId="20" fontId="4" fillId="0" borderId="0" xfId="2" applyNumberFormat="1" applyFont="1" applyFill="1" applyBorder="1" applyAlignment="1">
      <alignment horizontal="center" vertical="center" wrapText="1"/>
    </xf>
    <xf numFmtId="0" fontId="3" fillId="0" borderId="2" xfId="0" applyFont="1" applyFill="1" applyBorder="1" applyAlignment="1">
      <alignment horizontal="left" vertical="top" wrapText="1"/>
    </xf>
    <xf numFmtId="49" fontId="4" fillId="0" borderId="2" xfId="2" applyNumberFormat="1" applyFont="1" applyFill="1" applyBorder="1" applyAlignment="1">
      <alignment vertical="top" wrapText="1"/>
    </xf>
    <xf numFmtId="49" fontId="4" fillId="0" borderId="2" xfId="0" applyNumberFormat="1" applyFont="1" applyFill="1" applyBorder="1" applyAlignment="1">
      <alignment vertical="top" wrapText="1"/>
    </xf>
    <xf numFmtId="0" fontId="39" fillId="0" borderId="2" xfId="0" applyFont="1" applyFill="1" applyBorder="1" applyAlignment="1">
      <alignment horizontal="left" vertical="top" wrapText="1"/>
    </xf>
    <xf numFmtId="0" fontId="40" fillId="0" borderId="2" xfId="0" applyFont="1" applyFill="1" applyBorder="1" applyAlignment="1">
      <alignment horizontal="left" vertical="top" wrapText="1"/>
    </xf>
    <xf numFmtId="0" fontId="0" fillId="0" borderId="2" xfId="0" applyBorder="1" applyAlignment="1">
      <alignment horizontal="left" vertical="top"/>
    </xf>
    <xf numFmtId="20" fontId="4" fillId="0" borderId="2" xfId="2" applyNumberFormat="1" applyFont="1" applyFill="1" applyBorder="1" applyAlignment="1">
      <alignment horizontal="left" vertical="top" wrapText="1"/>
    </xf>
    <xf numFmtId="0" fontId="25" fillId="4" borderId="2" xfId="0" applyFont="1" applyFill="1" applyBorder="1" applyAlignment="1">
      <alignment horizontal="center" vertical="center"/>
    </xf>
    <xf numFmtId="0" fontId="21" fillId="0" borderId="22" xfId="0" applyFont="1" applyBorder="1"/>
    <xf numFmtId="0" fontId="4" fillId="0" borderId="0" xfId="0" applyFont="1" applyAlignment="1">
      <alignment horizontal="center" vertical="center"/>
    </xf>
    <xf numFmtId="0" fontId="4" fillId="0" borderId="0" xfId="0" applyFont="1" applyBorder="1" applyAlignment="1">
      <alignment horizontal="center" vertical="center" wrapText="1"/>
    </xf>
    <xf numFmtId="0" fontId="4" fillId="0" borderId="2" xfId="0" applyFont="1" applyBorder="1" applyAlignment="1">
      <alignment horizontal="center" vertical="top" wrapText="1"/>
    </xf>
    <xf numFmtId="0" fontId="4" fillId="0" borderId="2" xfId="0" applyFont="1" applyFill="1" applyBorder="1" applyAlignment="1">
      <alignment horizontal="center" vertical="top" wrapText="1"/>
    </xf>
    <xf numFmtId="0" fontId="3" fillId="0" borderId="2" xfId="0" applyFont="1" applyFill="1" applyBorder="1" applyAlignment="1">
      <alignment horizontal="center" vertical="top" wrapText="1"/>
    </xf>
    <xf numFmtId="0" fontId="15" fillId="0" borderId="2" xfId="0" applyFont="1" applyFill="1" applyBorder="1" applyAlignment="1">
      <alignment horizontal="center" vertical="top" wrapText="1"/>
    </xf>
    <xf numFmtId="49" fontId="4" fillId="0" borderId="2" xfId="0" applyNumberFormat="1" applyFont="1" applyFill="1" applyBorder="1" applyAlignment="1">
      <alignment horizontal="center" vertical="top" wrapText="1"/>
    </xf>
    <xf numFmtId="2" fontId="4" fillId="0" borderId="2" xfId="0" applyNumberFormat="1" applyFont="1" applyFill="1" applyBorder="1" applyAlignment="1">
      <alignment horizontal="center" vertical="top" wrapText="1"/>
    </xf>
    <xf numFmtId="0" fontId="32" fillId="0" borderId="2" xfId="0" applyFont="1" applyBorder="1" applyAlignment="1">
      <alignment horizontal="center" vertical="top" wrapText="1"/>
    </xf>
    <xf numFmtId="0" fontId="3" fillId="0" borderId="2" xfId="0" applyFont="1" applyBorder="1" applyAlignment="1">
      <alignment horizontal="center" vertical="top" wrapText="1"/>
    </xf>
    <xf numFmtId="0" fontId="2" fillId="0" borderId="2" xfId="0" applyFont="1" applyBorder="1" applyAlignment="1">
      <alignment horizontal="center" vertical="top" wrapText="1"/>
    </xf>
    <xf numFmtId="0" fontId="4" fillId="4" borderId="2" xfId="0" applyFont="1" applyFill="1" applyBorder="1" applyAlignment="1">
      <alignment horizontal="center" vertical="top" wrapText="1"/>
    </xf>
    <xf numFmtId="0" fontId="4" fillId="0" borderId="2" xfId="0" applyFont="1" applyBorder="1" applyAlignment="1">
      <alignment horizontal="center" vertical="top"/>
    </xf>
    <xf numFmtId="0" fontId="2" fillId="0" borderId="2" xfId="0" applyFont="1" applyBorder="1" applyAlignment="1">
      <alignment horizontal="center" vertical="top"/>
    </xf>
    <xf numFmtId="49" fontId="24" fillId="0" borderId="2" xfId="0" applyNumberFormat="1" applyFont="1" applyFill="1" applyBorder="1" applyAlignment="1">
      <alignment horizontal="center" vertical="top"/>
    </xf>
    <xf numFmtId="0" fontId="4" fillId="13" borderId="2" xfId="0" applyFont="1" applyFill="1" applyBorder="1" applyAlignment="1">
      <alignment horizontal="center" vertical="top" wrapText="1"/>
    </xf>
    <xf numFmtId="0" fontId="2" fillId="0" borderId="2" xfId="0" applyFont="1" applyFill="1" applyBorder="1" applyAlignment="1">
      <alignment horizontal="center" vertical="top"/>
    </xf>
    <xf numFmtId="49" fontId="4" fillId="0" borderId="2" xfId="0" applyNumberFormat="1" applyFont="1" applyFill="1" applyBorder="1" applyAlignment="1">
      <alignment horizontal="center" vertical="top"/>
    </xf>
    <xf numFmtId="0" fontId="4" fillId="0" borderId="2" xfId="0" applyNumberFormat="1" applyFont="1" applyFill="1" applyBorder="1" applyAlignment="1">
      <alignment horizontal="center" vertical="top" wrapText="1"/>
    </xf>
    <xf numFmtId="0" fontId="4" fillId="0" borderId="2" xfId="0" applyNumberFormat="1" applyFont="1" applyFill="1" applyBorder="1" applyAlignment="1">
      <alignment horizontal="center" vertical="top"/>
    </xf>
    <xf numFmtId="0" fontId="4" fillId="0" borderId="15" xfId="0" applyFont="1" applyFill="1" applyBorder="1" applyAlignment="1">
      <alignment horizontal="center" vertical="top" wrapText="1"/>
    </xf>
    <xf numFmtId="0" fontId="4" fillId="4" borderId="15" xfId="0" applyFont="1" applyFill="1" applyBorder="1" applyAlignment="1">
      <alignment horizontal="center" vertical="top" wrapText="1"/>
    </xf>
    <xf numFmtId="0" fontId="4" fillId="13" borderId="2" xfId="0" applyFont="1" applyFill="1" applyBorder="1" applyAlignment="1">
      <alignment horizontal="center" vertical="top"/>
    </xf>
    <xf numFmtId="49" fontId="4" fillId="0" borderId="2" xfId="0" applyNumberFormat="1" applyFont="1" applyBorder="1" applyAlignment="1">
      <alignment horizontal="center" vertical="top"/>
    </xf>
    <xf numFmtId="0" fontId="4" fillId="4" borderId="2" xfId="0" applyFont="1" applyFill="1" applyBorder="1" applyAlignment="1">
      <alignment horizontal="center" vertical="top"/>
    </xf>
    <xf numFmtId="0" fontId="2" fillId="0" borderId="2" xfId="0" applyFont="1" applyFill="1" applyBorder="1" applyAlignment="1">
      <alignment horizontal="center" vertical="top" wrapText="1"/>
    </xf>
    <xf numFmtId="0" fontId="4" fillId="0" borderId="2" xfId="0" applyFont="1" applyFill="1" applyBorder="1" applyAlignment="1">
      <alignment horizontal="center" vertical="top"/>
    </xf>
    <xf numFmtId="0" fontId="4" fillId="0" borderId="0" xfId="0" applyFont="1" applyFill="1"/>
    <xf numFmtId="0" fontId="4" fillId="0" borderId="0" xfId="0" applyFont="1"/>
    <xf numFmtId="0" fontId="4" fillId="0" borderId="0" xfId="0" applyFont="1" applyBorder="1"/>
    <xf numFmtId="0" fontId="4" fillId="0" borderId="22" xfId="0" applyFont="1" applyBorder="1"/>
    <xf numFmtId="0" fontId="4" fillId="13" borderId="0" xfId="0" applyFont="1" applyFill="1" applyAlignment="1">
      <alignment horizontal="center" vertical="center"/>
    </xf>
    <xf numFmtId="0" fontId="3" fillId="0" borderId="22" xfId="0" applyFont="1" applyFill="1" applyBorder="1" applyAlignment="1">
      <alignment horizontal="center" vertical="top" wrapText="1"/>
    </xf>
    <xf numFmtId="0" fontId="20" fillId="0" borderId="2" xfId="0" applyFont="1" applyFill="1" applyBorder="1" applyAlignment="1">
      <alignment wrapText="1"/>
    </xf>
    <xf numFmtId="0" fontId="14" fillId="4" borderId="15" xfId="1" applyFill="1" applyBorder="1" applyAlignment="1" applyProtection="1">
      <alignment vertical="top" wrapText="1"/>
    </xf>
    <xf numFmtId="0" fontId="25" fillId="4" borderId="2" xfId="0" applyFont="1" applyFill="1" applyBorder="1" applyAlignment="1">
      <alignment horizontal="center" vertical="center"/>
    </xf>
    <xf numFmtId="0" fontId="1" fillId="0" borderId="2" xfId="0" applyFont="1" applyBorder="1" applyAlignment="1">
      <alignment horizontal="center" vertical="center"/>
    </xf>
    <xf numFmtId="0" fontId="4" fillId="0" borderId="1" xfId="0" applyFont="1" applyFill="1" applyBorder="1" applyAlignment="1">
      <alignment horizontal="center" vertical="top" wrapText="1"/>
    </xf>
    <xf numFmtId="0" fontId="2" fillId="0" borderId="37" xfId="0" applyFont="1" applyFill="1" applyBorder="1" applyAlignment="1">
      <alignment horizontal="center" vertical="top" wrapText="1"/>
    </xf>
    <xf numFmtId="0" fontId="9" fillId="4" borderId="2" xfId="0" applyFont="1" applyFill="1" applyBorder="1" applyAlignment="1">
      <alignment horizontal="center" vertical="center"/>
    </xf>
    <xf numFmtId="0" fontId="4" fillId="0" borderId="2" xfId="2" applyFont="1" applyFill="1" applyBorder="1" applyAlignment="1">
      <alignment wrapText="1"/>
    </xf>
    <xf numFmtId="0" fontId="40" fillId="0" borderId="2" xfId="0" applyFont="1" applyBorder="1" applyAlignment="1">
      <alignment vertical="top" wrapText="1"/>
    </xf>
    <xf numFmtId="0" fontId="19" fillId="0" borderId="0" xfId="0" applyFont="1" applyFill="1" applyBorder="1" applyAlignment="1">
      <alignment horizontal="center" vertical="center" wrapText="1"/>
    </xf>
    <xf numFmtId="0" fontId="4" fillId="13" borderId="2" xfId="0" applyFont="1" applyFill="1" applyBorder="1" applyAlignment="1">
      <alignment horizontal="center" vertical="center" wrapText="1"/>
    </xf>
    <xf numFmtId="0" fontId="4" fillId="13" borderId="2" xfId="0" applyFont="1" applyFill="1" applyBorder="1" applyAlignment="1">
      <alignment vertical="top" wrapText="1"/>
    </xf>
    <xf numFmtId="49" fontId="4" fillId="13" borderId="2" xfId="0" applyNumberFormat="1" applyFont="1" applyFill="1" applyBorder="1" applyAlignment="1">
      <alignment horizontal="center" vertical="center" wrapText="1"/>
    </xf>
    <xf numFmtId="0" fontId="21" fillId="13" borderId="0" xfId="0" applyFont="1" applyFill="1"/>
    <xf numFmtId="49" fontId="0" fillId="13" borderId="2" xfId="0" applyNumberFormat="1" applyFill="1" applyBorder="1"/>
    <xf numFmtId="49" fontId="1" fillId="13" borderId="2" xfId="0" applyNumberFormat="1" applyFont="1" applyFill="1" applyBorder="1" applyAlignment="1">
      <alignment wrapText="1"/>
    </xf>
    <xf numFmtId="20" fontId="21" fillId="13" borderId="2" xfId="2" applyNumberFormat="1" applyFill="1" applyBorder="1" applyAlignment="1">
      <alignment horizontal="center" vertical="top" wrapText="1"/>
    </xf>
    <xf numFmtId="0" fontId="1" fillId="13" borderId="2" xfId="0" applyFont="1" applyFill="1" applyBorder="1" applyAlignment="1">
      <alignment horizontal="center" vertical="center"/>
    </xf>
    <xf numFmtId="0" fontId="2" fillId="13" borderId="2" xfId="0" applyFont="1" applyFill="1" applyBorder="1" applyAlignment="1">
      <alignment horizontal="center" vertical="top" wrapText="1"/>
    </xf>
    <xf numFmtId="49" fontId="4" fillId="13" borderId="2" xfId="0" applyNumberFormat="1" applyFont="1" applyFill="1" applyBorder="1" applyAlignment="1">
      <alignment horizontal="center" vertical="top" wrapText="1"/>
    </xf>
    <xf numFmtId="0" fontId="4" fillId="0" borderId="15" xfId="0" applyFont="1" applyFill="1" applyBorder="1" applyAlignment="1">
      <alignment horizontal="center" vertical="center" wrapText="1"/>
    </xf>
    <xf numFmtId="0" fontId="4" fillId="0" borderId="1" xfId="0" applyFont="1" applyFill="1" applyBorder="1" applyAlignment="1">
      <alignment horizontal="center" vertical="center" wrapText="1"/>
    </xf>
    <xf numFmtId="0" fontId="53" fillId="15" borderId="0" xfId="0" applyFont="1" applyFill="1" applyAlignment="1">
      <alignment wrapText="1"/>
    </xf>
    <xf numFmtId="0" fontId="53" fillId="14" borderId="0" xfId="0" applyFont="1" applyFill="1" applyAlignment="1">
      <alignment wrapText="1"/>
    </xf>
    <xf numFmtId="0" fontId="53" fillId="0" borderId="0" xfId="0" applyFont="1"/>
    <xf numFmtId="0" fontId="54" fillId="15" borderId="0" xfId="0" applyFont="1" applyFill="1" applyAlignment="1">
      <alignment wrapText="1"/>
    </xf>
    <xf numFmtId="0" fontId="54" fillId="14" borderId="0" xfId="0" applyFont="1" applyFill="1" applyAlignment="1">
      <alignment wrapText="1"/>
    </xf>
    <xf numFmtId="0" fontId="54" fillId="0" borderId="0" xfId="0" applyFont="1"/>
    <xf numFmtId="0" fontId="4" fillId="0" borderId="2" xfId="0" applyFont="1" applyBorder="1" applyAlignment="1">
      <alignment horizontal="center" vertical="center"/>
    </xf>
    <xf numFmtId="2" fontId="4" fillId="13" borderId="2" xfId="0" applyNumberFormat="1" applyFont="1" applyFill="1" applyBorder="1" applyAlignment="1">
      <alignment vertical="top" wrapText="1"/>
    </xf>
    <xf numFmtId="0" fontId="3" fillId="13" borderId="2" xfId="0" applyFont="1" applyFill="1" applyBorder="1" applyAlignment="1">
      <alignment horizontal="left" vertical="top" wrapText="1"/>
    </xf>
    <xf numFmtId="49" fontId="0" fillId="0" borderId="2" xfId="0" applyNumberFormat="1" applyFill="1" applyBorder="1" applyAlignment="1">
      <alignment horizontal="center"/>
    </xf>
    <xf numFmtId="0" fontId="0" fillId="0" borderId="2" xfId="0" applyFill="1" applyBorder="1"/>
    <xf numFmtId="49" fontId="4" fillId="0" borderId="15" xfId="2" applyNumberFormat="1" applyFont="1" applyFill="1" applyBorder="1" applyAlignment="1">
      <alignment horizontal="center" vertical="center" wrapText="1"/>
    </xf>
    <xf numFmtId="0" fontId="21" fillId="0" borderId="2" xfId="0" applyFont="1" applyFill="1" applyBorder="1" applyAlignment="1">
      <alignment horizontal="left" vertical="top"/>
    </xf>
    <xf numFmtId="0" fontId="15" fillId="0" borderId="2" xfId="0" applyFont="1" applyFill="1" applyBorder="1" applyAlignment="1">
      <alignment horizontal="left" vertical="top" wrapText="1"/>
    </xf>
    <xf numFmtId="0" fontId="4" fillId="0" borderId="22" xfId="0" applyFont="1" applyFill="1" applyBorder="1" applyAlignment="1">
      <alignment horizontal="center" vertical="center"/>
    </xf>
    <xf numFmtId="0" fontId="4" fillId="0" borderId="0" xfId="0" applyFont="1" applyFill="1" applyAlignment="1">
      <alignment horizontal="center" vertical="center"/>
    </xf>
    <xf numFmtId="0" fontId="4" fillId="13" borderId="22" xfId="0" applyFont="1" applyFill="1" applyBorder="1"/>
    <xf numFmtId="0" fontId="4" fillId="13" borderId="22" xfId="0" applyFont="1" applyFill="1" applyBorder="1" applyAlignment="1">
      <alignment horizontal="center" vertical="center"/>
    </xf>
    <xf numFmtId="0" fontId="2" fillId="13" borderId="2" xfId="0" applyFont="1" applyFill="1" applyBorder="1" applyAlignment="1">
      <alignment horizontal="center" vertical="top"/>
    </xf>
    <xf numFmtId="0" fontId="15" fillId="13" borderId="2" xfId="0" applyFont="1" applyFill="1" applyBorder="1" applyAlignment="1">
      <alignment horizontal="center" vertical="top" wrapText="1"/>
    </xf>
    <xf numFmtId="0" fontId="4" fillId="13" borderId="2" xfId="0" applyNumberFormat="1" applyFont="1" applyFill="1" applyBorder="1" applyAlignment="1">
      <alignment horizontal="center" vertical="top"/>
    </xf>
    <xf numFmtId="0" fontId="4" fillId="13" borderId="0" xfId="0" applyFont="1" applyFill="1"/>
    <xf numFmtId="49" fontId="24" fillId="13" borderId="2" xfId="0" applyNumberFormat="1" applyFont="1" applyFill="1" applyBorder="1" applyAlignment="1">
      <alignment horizontal="center" vertical="top"/>
    </xf>
    <xf numFmtId="0" fontId="4" fillId="13" borderId="0" xfId="0" applyFont="1" applyFill="1" applyBorder="1"/>
    <xf numFmtId="0" fontId="18" fillId="0" borderId="2" xfId="2" applyFont="1" applyFill="1" applyBorder="1" applyAlignment="1">
      <alignment horizontal="center" vertical="center"/>
    </xf>
    <xf numFmtId="0" fontId="55" fillId="0" borderId="2" xfId="0" applyFont="1" applyFill="1" applyBorder="1" applyAlignment="1">
      <alignment wrapText="1"/>
    </xf>
    <xf numFmtId="0" fontId="21" fillId="13" borderId="0" xfId="0" applyFont="1" applyFill="1" applyBorder="1"/>
    <xf numFmtId="0" fontId="21" fillId="13" borderId="0" xfId="0" applyFont="1" applyFill="1" applyBorder="1" applyAlignment="1">
      <alignment horizontal="center" vertical="center"/>
    </xf>
    <xf numFmtId="20" fontId="21" fillId="0" borderId="0" xfId="2" applyNumberFormat="1" applyBorder="1" applyAlignment="1">
      <alignment horizontal="center" vertical="center"/>
    </xf>
    <xf numFmtId="0" fontId="21" fillId="0" borderId="0" xfId="2" applyBorder="1"/>
    <xf numFmtId="20" fontId="21" fillId="0" borderId="2" xfId="2" applyNumberFormat="1" applyBorder="1" applyAlignment="1">
      <alignment horizontal="left" vertical="top" wrapText="1"/>
    </xf>
    <xf numFmtId="165" fontId="4" fillId="0" borderId="2" xfId="0" applyNumberFormat="1" applyFont="1" applyFill="1" applyBorder="1" applyAlignment="1">
      <alignment horizontal="center" vertical="center" wrapText="1"/>
    </xf>
    <xf numFmtId="165" fontId="4" fillId="0" borderId="15" xfId="0" applyNumberFormat="1" applyFont="1" applyFill="1" applyBorder="1" applyAlignment="1">
      <alignment horizontal="center" vertical="center" wrapText="1"/>
    </xf>
    <xf numFmtId="165" fontId="4" fillId="0" borderId="1" xfId="0" applyNumberFormat="1" applyFont="1" applyFill="1" applyBorder="1" applyAlignment="1">
      <alignment horizontal="center" vertical="center" wrapText="1"/>
    </xf>
    <xf numFmtId="165" fontId="4" fillId="13" borderId="2" xfId="0" applyNumberFormat="1" applyFont="1" applyFill="1" applyBorder="1" applyAlignment="1">
      <alignment horizontal="center" vertical="center" wrapText="1"/>
    </xf>
    <xf numFmtId="165" fontId="4" fillId="0" borderId="2" xfId="0" applyNumberFormat="1" applyFont="1" applyFill="1" applyBorder="1" applyAlignment="1">
      <alignment horizontal="center" vertical="top" wrapText="1"/>
    </xf>
    <xf numFmtId="165" fontId="0" fillId="0" borderId="0" xfId="0" applyNumberFormat="1"/>
    <xf numFmtId="0" fontId="25" fillId="4" borderId="2" xfId="0" applyFont="1" applyFill="1" applyBorder="1" applyAlignment="1">
      <alignment horizontal="center" vertical="center"/>
    </xf>
    <xf numFmtId="0" fontId="2" fillId="0" borderId="15" xfId="0" applyFont="1" applyBorder="1" applyAlignment="1">
      <alignment horizontal="center" vertical="top" wrapText="1"/>
    </xf>
    <xf numFmtId="49" fontId="4" fillId="0" borderId="15" xfId="0" applyNumberFormat="1" applyFont="1" applyFill="1" applyBorder="1" applyAlignment="1">
      <alignment horizontal="center" vertical="top" wrapText="1"/>
    </xf>
    <xf numFmtId="49" fontId="4" fillId="0" borderId="1" xfId="0" applyNumberFormat="1" applyFont="1" applyFill="1" applyBorder="1" applyAlignment="1">
      <alignment horizontal="center" vertical="top" wrapText="1"/>
    </xf>
    <xf numFmtId="0" fontId="4" fillId="4" borderId="15" xfId="0" applyFont="1" applyFill="1" applyBorder="1" applyAlignment="1">
      <alignment vertical="top" wrapText="1"/>
    </xf>
    <xf numFmtId="165" fontId="4" fillId="0" borderId="7" xfId="0" applyNumberFormat="1" applyFont="1" applyFill="1" applyBorder="1" applyAlignment="1">
      <alignment horizontal="center" vertical="center" wrapText="1"/>
    </xf>
    <xf numFmtId="165" fontId="4" fillId="0" borderId="7" xfId="0" applyNumberFormat="1" applyFont="1" applyFill="1" applyBorder="1" applyAlignment="1">
      <alignment horizontal="center" vertical="top" wrapText="1"/>
    </xf>
    <xf numFmtId="165" fontId="3" fillId="0" borderId="7" xfId="0" applyNumberFormat="1" applyFont="1" applyFill="1" applyBorder="1" applyAlignment="1">
      <alignment horizontal="center" vertical="center" wrapText="1"/>
    </xf>
    <xf numFmtId="165" fontId="3" fillId="13" borderId="7" xfId="0" applyNumberFormat="1" applyFont="1" applyFill="1" applyBorder="1" applyAlignment="1">
      <alignment horizontal="center" vertical="center" wrapText="1"/>
    </xf>
    <xf numFmtId="165" fontId="55" fillId="0" borderId="2" xfId="0" applyNumberFormat="1" applyFont="1" applyFill="1" applyBorder="1" applyAlignment="1">
      <alignment wrapText="1"/>
    </xf>
    <xf numFmtId="165" fontId="0" fillId="0" borderId="0" xfId="0" applyNumberFormat="1" applyBorder="1"/>
    <xf numFmtId="165" fontId="3" fillId="10" borderId="10" xfId="0" applyNumberFormat="1" applyFont="1" applyFill="1" applyBorder="1" applyAlignment="1">
      <alignment horizontal="center" vertical="center"/>
    </xf>
    <xf numFmtId="165" fontId="18" fillId="13" borderId="15" xfId="2" applyNumberFormat="1" applyFont="1" applyFill="1" applyBorder="1" applyAlignment="1">
      <alignment horizontal="center" vertical="center"/>
    </xf>
    <xf numFmtId="165" fontId="9" fillId="13" borderId="15" xfId="2" applyNumberFormat="1" applyFont="1" applyFill="1" applyBorder="1" applyAlignment="1">
      <alignment horizontal="center" vertical="center" wrapText="1"/>
    </xf>
    <xf numFmtId="165" fontId="4" fillId="13" borderId="2" xfId="0" applyNumberFormat="1" applyFont="1" applyFill="1" applyBorder="1" applyAlignment="1">
      <alignment horizontal="center" vertical="center"/>
    </xf>
    <xf numFmtId="165" fontId="9" fillId="13" borderId="15" xfId="2" applyNumberFormat="1" applyFont="1" applyFill="1" applyBorder="1" applyAlignment="1">
      <alignment horizontal="center" vertical="center"/>
    </xf>
    <xf numFmtId="165" fontId="9" fillId="13" borderId="2" xfId="2" applyNumberFormat="1" applyFont="1" applyFill="1" applyBorder="1" applyAlignment="1">
      <alignment horizontal="center" vertical="center"/>
    </xf>
    <xf numFmtId="165" fontId="1" fillId="0" borderId="0" xfId="0" applyNumberFormat="1" applyFont="1"/>
    <xf numFmtId="165" fontId="3" fillId="10" borderId="11" xfId="0" applyNumberFormat="1" applyFont="1" applyFill="1" applyBorder="1" applyAlignment="1">
      <alignment horizontal="center" vertical="center"/>
    </xf>
    <xf numFmtId="165" fontId="3" fillId="0" borderId="2" xfId="0" applyNumberFormat="1" applyFont="1" applyFill="1" applyBorder="1" applyAlignment="1">
      <alignment horizontal="center" vertical="center"/>
    </xf>
    <xf numFmtId="165" fontId="4" fillId="0" borderId="7" xfId="0" applyNumberFormat="1" applyFont="1" applyFill="1" applyBorder="1" applyAlignment="1">
      <alignment horizontal="center" vertical="center"/>
    </xf>
    <xf numFmtId="165" fontId="3" fillId="10" borderId="11" xfId="0" applyNumberFormat="1" applyFont="1" applyFill="1" applyBorder="1" applyAlignment="1">
      <alignment horizontal="center"/>
    </xf>
    <xf numFmtId="165" fontId="4" fillId="0" borderId="8" xfId="0" applyNumberFormat="1" applyFont="1" applyBorder="1"/>
    <xf numFmtId="0" fontId="4" fillId="4" borderId="7" xfId="0" applyFont="1" applyFill="1" applyBorder="1" applyAlignment="1">
      <alignment horizontal="center" vertical="top"/>
    </xf>
    <xf numFmtId="0" fontId="50" fillId="0" borderId="2" xfId="0" applyFont="1" applyFill="1" applyBorder="1" applyAlignment="1">
      <alignment horizontal="center" vertical="center"/>
    </xf>
    <xf numFmtId="0" fontId="0" fillId="0" borderId="2" xfId="0" applyFill="1" applyBorder="1" applyAlignment="1">
      <alignment horizontal="left" vertical="top"/>
    </xf>
    <xf numFmtId="0" fontId="0" fillId="0" borderId="22" xfId="0" applyFill="1" applyBorder="1"/>
    <xf numFmtId="0" fontId="0" fillId="0" borderId="2" xfId="0" applyFill="1" applyBorder="1" applyAlignment="1">
      <alignment horizontal="center" vertical="top"/>
    </xf>
    <xf numFmtId="0" fontId="0" fillId="0" borderId="2" xfId="0" applyFill="1" applyBorder="1" applyAlignment="1">
      <alignment horizontal="center" vertical="center"/>
    </xf>
    <xf numFmtId="165" fontId="0" fillId="0" borderId="2" xfId="0" applyNumberFormat="1" applyFill="1" applyBorder="1" applyAlignment="1">
      <alignment horizontal="center" vertical="center"/>
    </xf>
    <xf numFmtId="10" fontId="53" fillId="0" borderId="0" xfId="3" applyNumberFormat="1" applyFont="1"/>
    <xf numFmtId="10" fontId="54" fillId="0" borderId="0" xfId="3" applyNumberFormat="1" applyFont="1"/>
    <xf numFmtId="165" fontId="3" fillId="0" borderId="2" xfId="0" applyNumberFormat="1" applyFont="1" applyFill="1" applyBorder="1" applyAlignment="1">
      <alignment horizontal="center" vertical="center" wrapText="1"/>
    </xf>
    <xf numFmtId="165" fontId="0" fillId="0" borderId="2" xfId="0" applyNumberFormat="1" applyFill="1" applyBorder="1"/>
    <xf numFmtId="0" fontId="55" fillId="13" borderId="2" xfId="0" applyFont="1" applyFill="1" applyBorder="1" applyAlignment="1">
      <alignment horizontal="center" wrapText="1"/>
    </xf>
    <xf numFmtId="0" fontId="1" fillId="13" borderId="2" xfId="0" applyFont="1" applyFill="1" applyBorder="1" applyAlignment="1">
      <alignment wrapText="1"/>
    </xf>
    <xf numFmtId="0" fontId="21" fillId="13" borderId="2" xfId="0" applyFont="1" applyFill="1" applyBorder="1" applyAlignment="1">
      <alignment horizontal="center" vertical="center"/>
    </xf>
    <xf numFmtId="0" fontId="4" fillId="13" borderId="2" xfId="2" applyFont="1" applyFill="1" applyBorder="1" applyAlignment="1">
      <alignment vertical="top" wrapText="1"/>
    </xf>
    <xf numFmtId="0" fontId="50" fillId="13" borderId="2" xfId="0" applyFont="1" applyFill="1" applyBorder="1" applyAlignment="1">
      <alignment horizontal="center" vertical="center" wrapText="1"/>
    </xf>
    <xf numFmtId="0" fontId="19" fillId="0" borderId="2" xfId="0" applyFont="1" applyFill="1" applyBorder="1" applyAlignment="1">
      <alignment horizontal="center" vertical="center" wrapText="1"/>
    </xf>
    <xf numFmtId="0" fontId="0" fillId="0" borderId="0" xfId="0" applyFill="1" applyAlignment="1">
      <alignment horizontal="center" vertical="center"/>
    </xf>
    <xf numFmtId="0" fontId="4" fillId="0" borderId="0" xfId="0" applyFont="1" applyFill="1" applyBorder="1" applyAlignment="1">
      <alignment horizontal="center" vertical="center"/>
    </xf>
    <xf numFmtId="0" fontId="10" fillId="0" borderId="38" xfId="0" applyFont="1" applyBorder="1"/>
    <xf numFmtId="0" fontId="4" fillId="0" borderId="0" xfId="0" applyFont="1" applyFill="1" applyBorder="1"/>
    <xf numFmtId="0" fontId="51" fillId="0" borderId="2" xfId="0" applyFont="1" applyFill="1" applyBorder="1" applyAlignment="1">
      <alignment horizontal="center" vertical="top" wrapText="1"/>
    </xf>
    <xf numFmtId="0" fontId="4" fillId="0" borderId="0" xfId="0" applyFont="1" applyFill="1" applyAlignment="1">
      <alignment horizontal="center" vertical="top"/>
    </xf>
    <xf numFmtId="0" fontId="4" fillId="0" borderId="0" xfId="0" applyFont="1" applyFill="1" applyBorder="1" applyAlignment="1">
      <alignment vertical="top"/>
    </xf>
    <xf numFmtId="49" fontId="43" fillId="0" borderId="2" xfId="0" applyNumberFormat="1" applyFont="1" applyFill="1" applyBorder="1" applyAlignment="1">
      <alignment horizontal="center" vertical="center" wrapText="1"/>
    </xf>
    <xf numFmtId="0" fontId="4" fillId="0" borderId="2" xfId="2" applyFont="1" applyFill="1" applyBorder="1" applyAlignment="1">
      <alignment horizontal="left" vertical="top" wrapText="1"/>
    </xf>
    <xf numFmtId="49" fontId="21" fillId="0" borderId="2" xfId="2" applyNumberFormat="1" applyFill="1" applyBorder="1"/>
    <xf numFmtId="165" fontId="18" fillId="0" borderId="15" xfId="2" applyNumberFormat="1" applyFont="1" applyFill="1" applyBorder="1" applyAlignment="1">
      <alignment horizontal="center" vertical="center"/>
    </xf>
    <xf numFmtId="20" fontId="21" fillId="0" borderId="2" xfId="2" applyNumberFormat="1" applyFill="1" applyBorder="1" applyAlignment="1">
      <alignment horizontal="center" vertical="top" wrapText="1"/>
    </xf>
    <xf numFmtId="0" fontId="21" fillId="0" borderId="0" xfId="2" applyFill="1"/>
    <xf numFmtId="0" fontId="19" fillId="0" borderId="4" xfId="0" applyFont="1" applyFill="1" applyBorder="1" applyAlignment="1">
      <alignment horizontal="center" vertical="center"/>
    </xf>
    <xf numFmtId="165" fontId="4" fillId="0" borderId="8" xfId="0" applyNumberFormat="1" applyFont="1" applyFill="1" applyBorder="1"/>
    <xf numFmtId="0" fontId="0" fillId="0" borderId="12" xfId="0" applyFill="1" applyBorder="1"/>
    <xf numFmtId="0" fontId="3" fillId="0" borderId="15" xfId="0" applyFont="1" applyFill="1" applyBorder="1" applyAlignment="1">
      <alignment horizontal="center" vertical="center" wrapText="1"/>
    </xf>
    <xf numFmtId="14" fontId="3" fillId="0" borderId="15" xfId="0" applyNumberFormat="1" applyFont="1" applyFill="1" applyBorder="1" applyAlignment="1">
      <alignment horizontal="center" vertical="center" wrapText="1"/>
    </xf>
    <xf numFmtId="0" fontId="4" fillId="0" borderId="1" xfId="0" applyFont="1" applyFill="1" applyBorder="1" applyAlignment="1">
      <alignment horizontal="center" vertical="center"/>
    </xf>
    <xf numFmtId="0" fontId="40" fillId="0" borderId="2" xfId="0" applyFont="1" applyFill="1" applyBorder="1" applyAlignment="1">
      <alignment horizontal="center" vertical="center" wrapText="1"/>
    </xf>
    <xf numFmtId="0" fontId="4" fillId="0" borderId="17" xfId="0" applyFont="1" applyFill="1" applyBorder="1" applyAlignment="1">
      <alignment horizontal="center" vertical="center" wrapText="1"/>
    </xf>
    <xf numFmtId="0" fontId="3" fillId="13" borderId="2" xfId="0" applyFont="1" applyFill="1" applyBorder="1" applyAlignment="1">
      <alignment horizontal="center" vertical="center" wrapText="1"/>
    </xf>
    <xf numFmtId="0" fontId="40" fillId="13" borderId="2" xfId="0" applyFont="1" applyFill="1" applyBorder="1" applyAlignment="1">
      <alignment horizontal="center" vertical="center" wrapText="1"/>
    </xf>
    <xf numFmtId="0" fontId="4" fillId="13" borderId="2" xfId="0" applyFont="1" applyFill="1" applyBorder="1" applyAlignment="1">
      <alignment horizontal="center" vertical="center"/>
    </xf>
    <xf numFmtId="165" fontId="4" fillId="0" borderId="2" xfId="0" applyNumberFormat="1" applyFont="1" applyFill="1" applyBorder="1" applyAlignment="1">
      <alignment horizontal="left" vertical="center" wrapText="1"/>
    </xf>
    <xf numFmtId="0" fontId="1" fillId="0" borderId="15" xfId="0" applyFont="1" applyBorder="1" applyAlignment="1">
      <alignment horizontal="center" vertical="center"/>
    </xf>
    <xf numFmtId="0" fontId="4" fillId="0" borderId="15" xfId="2" applyFont="1" applyFill="1" applyBorder="1" applyAlignment="1">
      <alignment vertical="top" wrapText="1"/>
    </xf>
    <xf numFmtId="0" fontId="0" fillId="0" borderId="15" xfId="0" applyBorder="1"/>
    <xf numFmtId="165" fontId="3" fillId="0" borderId="39" xfId="0" applyNumberFormat="1" applyFont="1" applyFill="1" applyBorder="1" applyAlignment="1">
      <alignment horizontal="center" vertical="center" wrapText="1"/>
    </xf>
    <xf numFmtId="0" fontId="0" fillId="0" borderId="15" xfId="0" applyBorder="1" applyAlignment="1">
      <alignment horizontal="left" vertical="top"/>
    </xf>
    <xf numFmtId="0" fontId="1" fillId="0" borderId="1" xfId="0" applyFont="1" applyBorder="1" applyAlignment="1">
      <alignment horizontal="center" vertical="center"/>
    </xf>
    <xf numFmtId="0" fontId="56" fillId="0" borderId="1" xfId="0" applyFont="1" applyBorder="1" applyAlignment="1">
      <alignment wrapText="1"/>
    </xf>
    <xf numFmtId="0" fontId="0" fillId="0" borderId="1" xfId="0" applyBorder="1"/>
    <xf numFmtId="165" fontId="0" fillId="0" borderId="1" xfId="0" applyNumberFormat="1" applyBorder="1"/>
    <xf numFmtId="2" fontId="53" fillId="0" borderId="0" xfId="0" applyNumberFormat="1" applyFont="1" applyAlignment="1">
      <alignment wrapText="1"/>
    </xf>
    <xf numFmtId="0" fontId="53" fillId="0" borderId="0" xfId="0" applyFont="1" applyAlignment="1">
      <alignment wrapText="1"/>
    </xf>
    <xf numFmtId="0" fontId="49" fillId="0" borderId="36" xfId="0" applyFont="1" applyFill="1" applyBorder="1" applyAlignment="1">
      <alignment horizontal="center" vertical="center" wrapText="1"/>
    </xf>
    <xf numFmtId="0" fontId="1" fillId="0" borderId="2" xfId="0" applyFont="1" applyFill="1" applyBorder="1" applyAlignment="1">
      <alignment horizontal="center" vertical="center"/>
    </xf>
    <xf numFmtId="0" fontId="55" fillId="0" borderId="2" xfId="0" applyFont="1" applyFill="1" applyBorder="1" applyAlignment="1">
      <alignment horizontal="left" vertical="top" wrapText="1"/>
    </xf>
    <xf numFmtId="0" fontId="4" fillId="0" borderId="22" xfId="0" applyFont="1" applyFill="1" applyBorder="1" applyAlignment="1">
      <alignment horizontal="center" vertical="top"/>
    </xf>
    <xf numFmtId="0" fontId="4" fillId="0" borderId="22" xfId="0" applyFont="1" applyFill="1" applyBorder="1" applyAlignment="1">
      <alignment vertical="top"/>
    </xf>
    <xf numFmtId="0" fontId="1" fillId="0" borderId="2" xfId="0" applyFont="1" applyFill="1" applyBorder="1" applyAlignment="1">
      <alignment wrapText="1"/>
    </xf>
    <xf numFmtId="0" fontId="4" fillId="0" borderId="0" xfId="0" applyFont="1" applyFill="1" applyAlignment="1">
      <alignment vertical="top"/>
    </xf>
    <xf numFmtId="165" fontId="0" fillId="0" borderId="0" xfId="0" applyNumberFormat="1" applyFill="1"/>
    <xf numFmtId="0" fontId="0" fillId="0" borderId="0" xfId="0" applyFill="1" applyAlignment="1">
      <alignment wrapText="1"/>
    </xf>
    <xf numFmtId="10" fontId="54" fillId="0" borderId="0" xfId="3" applyNumberFormat="1" applyFont="1" applyFill="1"/>
    <xf numFmtId="0" fontId="54" fillId="0" borderId="0" xfId="0" applyFont="1" applyFill="1" applyAlignment="1">
      <alignment wrapText="1"/>
    </xf>
    <xf numFmtId="0" fontId="54" fillId="0" borderId="0" xfId="0" applyFont="1" applyFill="1"/>
    <xf numFmtId="0" fontId="4" fillId="0" borderId="22" xfId="0" applyFont="1" applyFill="1" applyBorder="1"/>
    <xf numFmtId="0" fontId="4" fillId="0" borderId="0" xfId="0" applyFont="1" applyFill="1" applyAlignment="1">
      <alignment readingOrder="1"/>
    </xf>
    <xf numFmtId="0" fontId="2" fillId="0" borderId="2" xfId="0" applyFont="1" applyFill="1" applyBorder="1" applyAlignment="1">
      <alignment horizontal="center" vertical="center" wrapText="1"/>
    </xf>
    <xf numFmtId="49" fontId="0" fillId="0" borderId="2" xfId="0" applyNumberFormat="1" applyFill="1" applyBorder="1"/>
    <xf numFmtId="49" fontId="21" fillId="0" borderId="2" xfId="0" applyNumberFormat="1" applyFont="1" applyFill="1" applyBorder="1" applyAlignment="1">
      <alignment wrapText="1"/>
    </xf>
    <xf numFmtId="0" fontId="4" fillId="0" borderId="21" xfId="0" applyFont="1" applyFill="1" applyBorder="1" applyAlignment="1">
      <alignment horizontal="center" vertical="center" wrapText="1"/>
    </xf>
    <xf numFmtId="165" fontId="4" fillId="0" borderId="16" xfId="0" applyNumberFormat="1" applyFont="1" applyFill="1" applyBorder="1" applyAlignment="1">
      <alignment horizontal="center" vertical="center" wrapText="1"/>
    </xf>
    <xf numFmtId="0" fontId="3" fillId="0" borderId="17" xfId="0" applyFont="1" applyFill="1" applyBorder="1" applyAlignment="1">
      <alignment horizontal="center" vertical="center" wrapText="1"/>
    </xf>
    <xf numFmtId="0" fontId="4" fillId="0" borderId="40" xfId="0" applyFont="1" applyFill="1" applyBorder="1" applyAlignment="1">
      <alignment horizontal="center" vertical="top" wrapText="1"/>
    </xf>
    <xf numFmtId="0" fontId="1" fillId="0" borderId="0" xfId="0" applyFont="1" applyFill="1" applyBorder="1" applyAlignment="1">
      <alignment wrapText="1" readingOrder="1"/>
    </xf>
    <xf numFmtId="49" fontId="4" fillId="0" borderId="2" xfId="0" applyNumberFormat="1" applyFont="1" applyFill="1" applyBorder="1"/>
    <xf numFmtId="0" fontId="4" fillId="13" borderId="15" xfId="0" applyFont="1" applyFill="1" applyBorder="1" applyAlignment="1">
      <alignment vertical="top" wrapText="1"/>
    </xf>
    <xf numFmtId="0" fontId="1" fillId="0" borderId="2" xfId="0" applyFont="1" applyFill="1" applyBorder="1" applyAlignment="1">
      <alignment wrapText="1" readingOrder="1"/>
    </xf>
    <xf numFmtId="0" fontId="4" fillId="0" borderId="1" xfId="2" applyFont="1" applyFill="1" applyBorder="1" applyAlignment="1">
      <alignment vertical="top" wrapText="1"/>
    </xf>
    <xf numFmtId="0" fontId="4" fillId="0" borderId="2" xfId="0" applyFont="1" applyFill="1" applyBorder="1" applyAlignment="1">
      <alignment horizontal="center" wrapText="1"/>
    </xf>
    <xf numFmtId="0" fontId="1" fillId="0" borderId="2" xfId="0" applyFont="1" applyFill="1" applyBorder="1"/>
    <xf numFmtId="0" fontId="1" fillId="0" borderId="2" xfId="0" applyFont="1" applyBorder="1" applyAlignment="1">
      <alignment horizontal="center" wrapText="1"/>
    </xf>
    <xf numFmtId="0" fontId="1" fillId="13" borderId="2" xfId="0" applyFont="1" applyFill="1" applyBorder="1" applyAlignment="1">
      <alignment horizontal="center" vertical="center" wrapText="1"/>
    </xf>
    <xf numFmtId="0" fontId="1" fillId="0" borderId="2" xfId="0" applyFont="1" applyBorder="1" applyAlignment="1">
      <alignment horizontal="center" vertical="center" wrapText="1"/>
    </xf>
    <xf numFmtId="0" fontId="60" fillId="0" borderId="0" xfId="0" applyFont="1" applyFill="1" applyAlignment="1">
      <alignment vertical="top"/>
    </xf>
    <xf numFmtId="0" fontId="0" fillId="0" borderId="2" xfId="0" applyFill="1" applyBorder="1" applyAlignment="1">
      <alignment horizontal="center" vertical="center" wrapText="1"/>
    </xf>
    <xf numFmtId="0" fontId="4" fillId="16" borderId="2" xfId="0" applyFont="1" applyFill="1" applyBorder="1" applyAlignment="1">
      <alignment horizontal="center" vertical="top" wrapText="1"/>
    </xf>
    <xf numFmtId="0" fontId="1" fillId="0" borderId="22" xfId="0" applyFont="1" applyFill="1" applyBorder="1"/>
    <xf numFmtId="0" fontId="1" fillId="0" borderId="2" xfId="0" applyFont="1" applyFill="1" applyBorder="1" applyAlignment="1">
      <alignment horizontal="center" wrapText="1"/>
    </xf>
    <xf numFmtId="0" fontId="1" fillId="13" borderId="2" xfId="0" applyFont="1" applyFill="1" applyBorder="1" applyAlignment="1">
      <alignment horizontal="center" wrapText="1"/>
    </xf>
    <xf numFmtId="0" fontId="51" fillId="0" borderId="2" xfId="2" applyFont="1" applyFill="1" applyBorder="1" applyAlignment="1">
      <alignment vertical="top" wrapText="1"/>
    </xf>
    <xf numFmtId="2" fontId="54" fillId="0" borderId="0" xfId="0" applyNumberFormat="1" applyFont="1" applyFill="1" applyAlignment="1">
      <alignment wrapText="1"/>
    </xf>
    <xf numFmtId="2" fontId="54" fillId="0" borderId="0" xfId="0" applyNumberFormat="1" applyFont="1" applyAlignment="1">
      <alignment wrapText="1"/>
    </xf>
    <xf numFmtId="0" fontId="54" fillId="0" borderId="0" xfId="0" applyFont="1" applyAlignment="1">
      <alignment wrapText="1"/>
    </xf>
    <xf numFmtId="0" fontId="1" fillId="0" borderId="2" xfId="0" applyFont="1" applyBorder="1" applyAlignment="1">
      <alignment horizontal="center" vertical="top" wrapText="1"/>
    </xf>
    <xf numFmtId="0" fontId="8" fillId="10" borderId="10" xfId="0" applyFont="1" applyFill="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wrapText="1"/>
    </xf>
    <xf numFmtId="0" fontId="1" fillId="0" borderId="0" xfId="0" applyFont="1" applyBorder="1" applyAlignment="1">
      <alignment horizontal="center" vertical="center" wrapText="1"/>
    </xf>
    <xf numFmtId="0" fontId="1" fillId="0" borderId="0" xfId="0" applyFont="1" applyBorder="1" applyAlignment="1">
      <alignment wrapText="1"/>
    </xf>
    <xf numFmtId="0" fontId="0" fillId="0" borderId="0" xfId="0" applyBorder="1" applyAlignment="1">
      <alignment horizontal="center" wrapText="1"/>
    </xf>
    <xf numFmtId="49" fontId="8" fillId="10" borderId="10" xfId="0" applyNumberFormat="1" applyFont="1" applyFill="1" applyBorder="1" applyAlignment="1">
      <alignment horizontal="center" vertical="center" wrapText="1"/>
    </xf>
    <xf numFmtId="49" fontId="4" fillId="0" borderId="7" xfId="0" applyNumberFormat="1" applyFont="1" applyFill="1" applyBorder="1" applyAlignment="1">
      <alignment horizontal="center" wrapText="1"/>
    </xf>
    <xf numFmtId="49" fontId="4" fillId="0" borderId="7" xfId="0" applyNumberFormat="1" applyFont="1" applyBorder="1" applyAlignment="1">
      <alignment horizontal="center" wrapText="1"/>
    </xf>
    <xf numFmtId="0" fontId="1" fillId="0" borderId="7" xfId="0" applyFont="1" applyFill="1" applyBorder="1" applyAlignment="1">
      <alignment horizontal="center" wrapText="1"/>
    </xf>
    <xf numFmtId="49" fontId="0" fillId="0" borderId="0" xfId="0" applyNumberFormat="1" applyAlignment="1">
      <alignment wrapText="1"/>
    </xf>
    <xf numFmtId="0" fontId="1" fillId="0" borderId="2" xfId="0" applyFont="1" applyFill="1" applyBorder="1" applyAlignment="1">
      <alignment horizontal="center" vertical="center" wrapText="1"/>
    </xf>
    <xf numFmtId="0" fontId="19" fillId="0" borderId="2" xfId="0" applyFont="1" applyFill="1" applyBorder="1" applyAlignment="1">
      <alignment horizontal="center" vertical="center" wrapText="1"/>
    </xf>
    <xf numFmtId="0" fontId="1" fillId="0" borderId="2" xfId="0" applyFont="1" applyBorder="1" applyAlignment="1">
      <alignment horizontal="center"/>
    </xf>
    <xf numFmtId="0" fontId="15" fillId="0" borderId="15" xfId="0" applyFont="1" applyFill="1" applyBorder="1" applyAlignment="1">
      <alignment horizontal="center" vertical="top" wrapText="1"/>
    </xf>
    <xf numFmtId="0" fontId="51" fillId="0" borderId="2" xfId="0" applyFont="1" applyFill="1" applyBorder="1" applyAlignment="1">
      <alignment vertical="top" wrapText="1"/>
    </xf>
    <xf numFmtId="165" fontId="0" fillId="0" borderId="7" xfId="0" applyNumberFormat="1" applyFill="1" applyBorder="1"/>
    <xf numFmtId="0" fontId="1" fillId="0" borderId="2" xfId="0" applyFont="1" applyFill="1" applyBorder="1" applyAlignment="1">
      <alignment horizontal="center"/>
    </xf>
    <xf numFmtId="0" fontId="25" fillId="4" borderId="2" xfId="0" applyFont="1" applyFill="1" applyBorder="1" applyAlignment="1">
      <alignment horizontal="center" vertical="center"/>
    </xf>
    <xf numFmtId="0" fontId="40" fillId="18" borderId="2" xfId="0" applyFont="1" applyFill="1" applyBorder="1" applyAlignment="1">
      <alignment horizontal="left" vertical="top" wrapText="1"/>
    </xf>
    <xf numFmtId="49" fontId="43" fillId="0" borderId="2" xfId="0" applyNumberFormat="1" applyFont="1" applyFill="1" applyBorder="1" applyAlignment="1">
      <alignment horizontal="center" vertical="top" wrapText="1" readingOrder="1"/>
    </xf>
    <xf numFmtId="0" fontId="4" fillId="19" borderId="2" xfId="0" applyFont="1" applyFill="1" applyBorder="1" applyAlignment="1">
      <alignment horizontal="center" vertical="top" wrapText="1"/>
    </xf>
    <xf numFmtId="0" fontId="4" fillId="17" borderId="2" xfId="0" applyFont="1" applyFill="1" applyBorder="1" applyAlignment="1">
      <alignment horizontal="center" vertical="top" wrapText="1"/>
    </xf>
    <xf numFmtId="0" fontId="2" fillId="17" borderId="2" xfId="0" applyFont="1" applyFill="1" applyBorder="1" applyAlignment="1">
      <alignment horizontal="left" vertical="top" wrapText="1"/>
    </xf>
    <xf numFmtId="0" fontId="40" fillId="4" borderId="2" xfId="0" applyFont="1" applyFill="1" applyBorder="1" applyAlignment="1">
      <alignment horizontal="center" vertical="top" wrapText="1" readingOrder="1"/>
    </xf>
    <xf numFmtId="0" fontId="3" fillId="14" borderId="2" xfId="0" applyFont="1" applyFill="1" applyBorder="1" applyAlignment="1">
      <alignment horizontal="center" vertical="top"/>
    </xf>
    <xf numFmtId="0" fontId="4" fillId="14" borderId="2" xfId="0" applyFont="1" applyFill="1" applyBorder="1" applyAlignment="1">
      <alignment horizontal="center" vertical="top" wrapText="1" readingOrder="1"/>
    </xf>
    <xf numFmtId="0" fontId="1" fillId="0" borderId="2" xfId="0" applyFont="1" applyFill="1" applyBorder="1" applyAlignment="1">
      <alignment horizontal="left" vertical="top" wrapText="1"/>
    </xf>
    <xf numFmtId="0" fontId="4" fillId="0" borderId="2" xfId="0" applyFont="1" applyFill="1" applyBorder="1" applyAlignment="1">
      <alignment horizontal="left" vertical="top" wrapText="1"/>
    </xf>
    <xf numFmtId="0" fontId="4" fillId="0" borderId="2" xfId="0" applyFont="1" applyFill="1" applyBorder="1" applyAlignment="1">
      <alignment wrapText="1"/>
    </xf>
    <xf numFmtId="0" fontId="9" fillId="13" borderId="2" xfId="2" applyFont="1" applyFill="1" applyBorder="1" applyAlignment="1">
      <alignment horizontal="center" vertical="center"/>
    </xf>
    <xf numFmtId="0" fontId="9" fillId="0" borderId="2" xfId="2" applyFont="1" applyFill="1" applyBorder="1" applyAlignment="1">
      <alignment horizontal="center" vertical="center"/>
    </xf>
    <xf numFmtId="0" fontId="21" fillId="4" borderId="17" xfId="0" applyFont="1" applyFill="1" applyBorder="1" applyAlignment="1">
      <alignment vertical="top" wrapText="1"/>
    </xf>
    <xf numFmtId="0" fontId="0" fillId="0" borderId="40" xfId="0" applyBorder="1"/>
    <xf numFmtId="0" fontId="1" fillId="0" borderId="15" xfId="0" applyFont="1" applyFill="1" applyBorder="1" applyAlignment="1">
      <alignment horizontal="center"/>
    </xf>
    <xf numFmtId="0" fontId="4" fillId="4" borderId="15" xfId="0" applyFont="1" applyFill="1" applyBorder="1" applyAlignment="1">
      <alignment horizontal="center" vertical="center"/>
    </xf>
    <xf numFmtId="49" fontId="0" fillId="0" borderId="15" xfId="0" applyNumberFormat="1" applyFill="1" applyBorder="1"/>
    <xf numFmtId="0" fontId="1" fillId="0" borderId="15" xfId="0" applyFont="1" applyFill="1" applyBorder="1" applyAlignment="1">
      <alignment horizontal="center" vertical="center" wrapText="1"/>
    </xf>
    <xf numFmtId="165" fontId="3" fillId="0" borderId="15" xfId="0" applyNumberFormat="1" applyFont="1" applyFill="1" applyBorder="1" applyAlignment="1">
      <alignment horizontal="center" vertical="center"/>
    </xf>
    <xf numFmtId="0" fontId="4" fillId="9" borderId="1" xfId="0" applyFont="1" applyFill="1" applyBorder="1" applyAlignment="1">
      <alignment vertical="top" wrapText="1"/>
    </xf>
    <xf numFmtId="0" fontId="4" fillId="4" borderId="1" xfId="0" applyFont="1" applyFill="1" applyBorder="1" applyAlignment="1">
      <alignment horizontal="center" vertical="center"/>
    </xf>
    <xf numFmtId="49" fontId="4" fillId="9" borderId="1" xfId="0" applyNumberFormat="1" applyFont="1" applyFill="1" applyBorder="1" applyAlignment="1">
      <alignment horizontal="center" vertical="center" wrapText="1"/>
    </xf>
    <xf numFmtId="165" fontId="3" fillId="0" borderId="1" xfId="0" applyNumberFormat="1" applyFont="1" applyFill="1" applyBorder="1" applyAlignment="1">
      <alignment horizontal="center" vertical="center"/>
    </xf>
    <xf numFmtId="0" fontId="4" fillId="0" borderId="2" xfId="0" applyFont="1" applyBorder="1" applyAlignment="1">
      <alignment vertical="center" wrapText="1"/>
    </xf>
    <xf numFmtId="0" fontId="4" fillId="20" borderId="2" xfId="0" applyFont="1" applyFill="1" applyBorder="1" applyAlignment="1">
      <alignment horizontal="center" vertical="center"/>
    </xf>
    <xf numFmtId="0" fontId="1" fillId="0" borderId="2" xfId="0" applyFont="1" applyBorder="1" applyAlignment="1">
      <alignment vertical="center"/>
    </xf>
    <xf numFmtId="165" fontId="4" fillId="21" borderId="2" xfId="0" applyNumberFormat="1" applyFont="1" applyFill="1" applyBorder="1" applyAlignment="1">
      <alignment horizontal="center" vertical="center" wrapText="1"/>
    </xf>
    <xf numFmtId="165" fontId="4" fillId="22" borderId="2" xfId="0" applyNumberFormat="1" applyFont="1" applyFill="1" applyBorder="1" applyAlignment="1">
      <alignment horizontal="center" vertical="center" wrapText="1"/>
    </xf>
    <xf numFmtId="0" fontId="4" fillId="0" borderId="15" xfId="0" applyFont="1" applyFill="1" applyBorder="1" applyAlignment="1">
      <alignment horizontal="center" vertical="center"/>
    </xf>
    <xf numFmtId="0" fontId="4" fillId="0" borderId="15" xfId="0" applyFont="1" applyFill="1" applyBorder="1" applyAlignment="1">
      <alignment vertical="top" wrapText="1"/>
    </xf>
    <xf numFmtId="0" fontId="4" fillId="0" borderId="15" xfId="0" applyFont="1" applyFill="1" applyBorder="1" applyAlignment="1">
      <alignment horizontal="center" vertical="center" wrapText="1"/>
    </xf>
    <xf numFmtId="0" fontId="4" fillId="0" borderId="15" xfId="0" applyFont="1" applyFill="1" applyBorder="1" applyAlignment="1">
      <alignment vertical="top" wrapText="1"/>
    </xf>
    <xf numFmtId="49" fontId="4" fillId="0" borderId="15" xfId="0" applyNumberFormat="1" applyFont="1" applyFill="1" applyBorder="1" applyAlignment="1">
      <alignment horizontal="center" vertical="center" wrapText="1"/>
    </xf>
    <xf numFmtId="0" fontId="4" fillId="0" borderId="15" xfId="0" applyFont="1" applyFill="1" applyBorder="1" applyAlignment="1">
      <alignment horizontal="center" vertical="center"/>
    </xf>
    <xf numFmtId="0" fontId="2" fillId="0" borderId="15" xfId="0" applyFont="1" applyFill="1" applyBorder="1" applyAlignment="1">
      <alignment horizontal="center" vertical="center"/>
    </xf>
    <xf numFmtId="0" fontId="4" fillId="0" borderId="2" xfId="0" applyFont="1" applyFill="1" applyBorder="1" applyAlignment="1">
      <alignment horizontal="center" vertical="center" wrapText="1"/>
    </xf>
    <xf numFmtId="0" fontId="0" fillId="0" borderId="0" xfId="0" applyAlignment="1">
      <alignment horizontal="center" wrapText="1"/>
    </xf>
    <xf numFmtId="0" fontId="4" fillId="0" borderId="2" xfId="0" applyFont="1" applyFill="1" applyBorder="1" applyAlignment="1">
      <alignment horizontal="center" vertical="center" wrapText="1"/>
    </xf>
    <xf numFmtId="0" fontId="4" fillId="0" borderId="15" xfId="0" applyFont="1" applyFill="1" applyBorder="1" applyAlignment="1">
      <alignment horizontal="center" vertical="center"/>
    </xf>
    <xf numFmtId="0" fontId="2" fillId="0" borderId="2" xfId="0" applyFont="1" applyFill="1" applyBorder="1" applyAlignment="1">
      <alignment horizontal="center" vertical="top" wrapText="1"/>
    </xf>
    <xf numFmtId="0" fontId="4" fillId="0" borderId="2" xfId="0" applyFont="1" applyFill="1" applyBorder="1" applyAlignment="1">
      <alignment horizontal="left" vertical="center" wrapText="1"/>
    </xf>
    <xf numFmtId="0" fontId="2" fillId="0" borderId="2" xfId="0" applyFont="1" applyFill="1" applyBorder="1" applyAlignment="1">
      <alignment horizontal="center" vertical="top" wrapText="1"/>
    </xf>
    <xf numFmtId="0" fontId="4" fillId="0" borderId="2" xfId="0" applyFont="1" applyFill="1" applyBorder="1" applyAlignment="1">
      <alignment horizontal="center" vertical="center" wrapText="1"/>
    </xf>
    <xf numFmtId="49" fontId="4" fillId="0" borderId="2" xfId="0" applyNumberFormat="1" applyFont="1" applyFill="1" applyBorder="1" applyAlignment="1">
      <alignment horizontal="center" vertical="top" wrapText="1"/>
    </xf>
    <xf numFmtId="0" fontId="4" fillId="0" borderId="2" xfId="0" applyFont="1" applyFill="1" applyBorder="1" applyAlignment="1">
      <alignment horizontal="center" vertical="center"/>
    </xf>
    <xf numFmtId="0" fontId="4" fillId="0" borderId="0" xfId="0" applyFont="1" applyFill="1" applyAlignment="1">
      <alignment vertical="top" wrapText="1"/>
    </xf>
    <xf numFmtId="0" fontId="30" fillId="0" borderId="0" xfId="0" applyFont="1" applyBorder="1" applyAlignment="1">
      <alignment horizontal="center" vertical="center"/>
    </xf>
    <xf numFmtId="0" fontId="0" fillId="0" borderId="0" xfId="0" applyAlignment="1"/>
    <xf numFmtId="0" fontId="1" fillId="0" borderId="2" xfId="0" applyFont="1" applyFill="1" applyBorder="1" applyAlignment="1">
      <alignment horizontal="center" vertical="center" wrapText="1"/>
    </xf>
    <xf numFmtId="0" fontId="21" fillId="0" borderId="2" xfId="0" applyFont="1" applyFill="1" applyBorder="1" applyAlignment="1">
      <alignment horizontal="center" vertical="center" wrapText="1"/>
    </xf>
    <xf numFmtId="0" fontId="0" fillId="0" borderId="2" xfId="0" applyFill="1" applyBorder="1" applyAlignment="1">
      <alignment horizontal="center" vertical="center" wrapText="1"/>
    </xf>
    <xf numFmtId="0" fontId="0" fillId="0" borderId="15" xfId="0" applyFill="1" applyBorder="1" applyAlignment="1">
      <alignment horizontal="center" vertical="center" wrapText="1"/>
    </xf>
    <xf numFmtId="0" fontId="0" fillId="0" borderId="15" xfId="0" applyBorder="1" applyAlignment="1">
      <alignment horizontal="center" vertical="center" wrapText="1"/>
    </xf>
    <xf numFmtId="0" fontId="0" fillId="0" borderId="40" xfId="0" applyBorder="1" applyAlignment="1">
      <alignment horizontal="center" vertical="center" wrapText="1"/>
    </xf>
    <xf numFmtId="0" fontId="29" fillId="4" borderId="2" xfId="0" applyFont="1" applyFill="1" applyBorder="1" applyAlignment="1">
      <alignment horizontal="center" vertical="center" wrapText="1"/>
    </xf>
    <xf numFmtId="0" fontId="26" fillId="12" borderId="2" xfId="0" applyFont="1" applyFill="1" applyBorder="1" applyAlignment="1">
      <alignment horizontal="center" vertical="center"/>
    </xf>
    <xf numFmtId="0" fontId="27" fillId="0" borderId="7" xfId="0" applyFont="1" applyBorder="1" applyAlignment="1">
      <alignment horizontal="center" vertical="center"/>
    </xf>
    <xf numFmtId="0" fontId="27" fillId="0" borderId="16" xfId="0" applyFont="1" applyBorder="1" applyAlignment="1">
      <alignment horizontal="center" vertical="center"/>
    </xf>
    <xf numFmtId="0" fontId="27" fillId="0" borderId="17" xfId="0" applyFont="1" applyBorder="1" applyAlignment="1">
      <alignment horizontal="center" vertical="center"/>
    </xf>
    <xf numFmtId="0" fontId="19" fillId="0" borderId="2" xfId="0" applyFont="1" applyFill="1" applyBorder="1" applyAlignment="1">
      <alignment horizontal="center" vertical="center" wrapText="1"/>
    </xf>
    <xf numFmtId="0" fontId="16" fillId="10" borderId="7" xfId="0" applyFont="1" applyFill="1" applyBorder="1" applyAlignment="1">
      <alignment horizontal="center" vertical="top"/>
    </xf>
    <xf numFmtId="0" fontId="16" fillId="10" borderId="16" xfId="0" applyFont="1" applyFill="1" applyBorder="1" applyAlignment="1">
      <alignment horizontal="center" vertical="top"/>
    </xf>
    <xf numFmtId="0" fontId="16" fillId="10" borderId="17" xfId="0" applyFont="1" applyFill="1" applyBorder="1" applyAlignment="1">
      <alignment horizontal="center" vertical="top"/>
    </xf>
    <xf numFmtId="0" fontId="25" fillId="4" borderId="2" xfId="0" applyFont="1" applyFill="1" applyBorder="1" applyAlignment="1">
      <alignment horizontal="center" vertical="center"/>
    </xf>
    <xf numFmtId="0" fontId="28" fillId="4" borderId="15" xfId="0" applyFont="1" applyFill="1" applyBorder="1" applyAlignment="1">
      <alignment wrapText="1"/>
    </xf>
    <xf numFmtId="0" fontId="28" fillId="4" borderId="1" xfId="0" applyFont="1" applyFill="1" applyBorder="1" applyAlignment="1">
      <alignment wrapText="1"/>
    </xf>
    <xf numFmtId="0" fontId="25" fillId="4" borderId="15" xfId="0" applyFont="1" applyFill="1" applyBorder="1" applyAlignment="1">
      <alignment horizontal="center" vertical="center" wrapText="1"/>
    </xf>
    <xf numFmtId="0" fontId="25" fillId="4" borderId="1" xfId="0" applyFont="1" applyFill="1" applyBorder="1" applyAlignment="1">
      <alignment horizontal="center" vertical="center" wrapText="1"/>
    </xf>
    <xf numFmtId="2" fontId="25" fillId="4" borderId="2" xfId="0" applyNumberFormat="1" applyFont="1" applyFill="1" applyBorder="1" applyAlignment="1">
      <alignment horizontal="center" vertical="center"/>
    </xf>
    <xf numFmtId="0" fontId="28" fillId="4" borderId="2" xfId="0" applyFont="1" applyFill="1" applyBorder="1" applyAlignment="1">
      <alignment horizontal="center" vertical="center" wrapText="1"/>
    </xf>
    <xf numFmtId="165" fontId="29" fillId="4" borderId="2" xfId="0" applyNumberFormat="1" applyFont="1" applyFill="1" applyBorder="1" applyAlignment="1">
      <alignment horizontal="center" vertical="center" wrapText="1"/>
    </xf>
    <xf numFmtId="0" fontId="16" fillId="10" borderId="18" xfId="0" applyFont="1" applyFill="1" applyBorder="1" applyAlignment="1">
      <alignment horizontal="center" vertical="top"/>
    </xf>
    <xf numFmtId="0" fontId="16" fillId="10" borderId="24" xfId="0" applyFont="1" applyFill="1" applyBorder="1" applyAlignment="1">
      <alignment horizontal="center" vertical="top"/>
    </xf>
    <xf numFmtId="0" fontId="16" fillId="10" borderId="23" xfId="0" applyFont="1" applyFill="1" applyBorder="1" applyAlignment="1">
      <alignment horizontal="center" vertical="top"/>
    </xf>
    <xf numFmtId="0" fontId="16" fillId="10" borderId="2" xfId="0" applyFont="1" applyFill="1" applyBorder="1" applyAlignment="1">
      <alignment horizontal="center" vertical="center"/>
    </xf>
    <xf numFmtId="0" fontId="0" fillId="0" borderId="2" xfId="0" applyBorder="1" applyAlignment="1">
      <alignment horizontal="center"/>
    </xf>
    <xf numFmtId="0" fontId="16" fillId="10" borderId="2" xfId="0" applyFont="1" applyFill="1" applyBorder="1" applyAlignment="1">
      <alignment horizontal="center" vertical="top"/>
    </xf>
    <xf numFmtId="0" fontId="0" fillId="0" borderId="2" xfId="0" applyBorder="1" applyAlignment="1">
      <alignment horizontal="center" vertical="top"/>
    </xf>
    <xf numFmtId="0" fontId="4" fillId="0" borderId="2" xfId="0" applyFont="1" applyFill="1" applyBorder="1" applyAlignment="1">
      <alignment horizontal="center" vertical="center" wrapText="1"/>
    </xf>
    <xf numFmtId="0" fontId="0" fillId="0" borderId="2" xfId="0" applyBorder="1" applyAlignment="1">
      <alignment horizontal="center" vertical="center" wrapText="1"/>
    </xf>
    <xf numFmtId="0" fontId="2" fillId="0" borderId="2" xfId="0" applyFont="1" applyFill="1" applyBorder="1" applyAlignment="1">
      <alignment horizontal="center" vertical="top" wrapText="1"/>
    </xf>
    <xf numFmtId="0" fontId="0" fillId="0" borderId="2" xfId="0" applyBorder="1" applyAlignment="1">
      <alignment horizontal="center" vertical="top" wrapText="1"/>
    </xf>
    <xf numFmtId="0" fontId="4" fillId="0" borderId="2" xfId="0" applyFont="1" applyFill="1" applyBorder="1" applyAlignment="1">
      <alignment horizontal="center" vertical="top" wrapText="1"/>
    </xf>
    <xf numFmtId="0" fontId="4" fillId="0" borderId="2" xfId="0" applyFont="1" applyFill="1" applyBorder="1" applyAlignment="1">
      <alignment vertical="top" wrapText="1"/>
    </xf>
    <xf numFmtId="0" fontId="0" fillId="0" borderId="2" xfId="0" applyBorder="1" applyAlignment="1">
      <alignment vertical="top" wrapText="1"/>
    </xf>
    <xf numFmtId="0" fontId="4" fillId="0" borderId="2" xfId="0" applyFont="1" applyFill="1" applyBorder="1" applyAlignment="1">
      <alignment horizontal="center" vertical="top"/>
    </xf>
    <xf numFmtId="49" fontId="4" fillId="0" borderId="2" xfId="0" applyNumberFormat="1" applyFont="1" applyFill="1" applyBorder="1" applyAlignment="1">
      <alignment horizontal="center" vertical="top" wrapText="1"/>
    </xf>
    <xf numFmtId="0" fontId="4" fillId="0" borderId="15" xfId="0" applyFont="1" applyFill="1" applyBorder="1" applyAlignment="1">
      <alignment horizontal="center" vertical="center" wrapText="1"/>
    </xf>
    <xf numFmtId="0" fontId="0" fillId="0" borderId="1" xfId="0" applyBorder="1" applyAlignment="1">
      <alignment horizontal="center" vertical="center" wrapText="1"/>
    </xf>
    <xf numFmtId="0" fontId="2" fillId="0" borderId="15" xfId="0" applyFont="1" applyFill="1" applyBorder="1" applyAlignment="1">
      <alignment horizontal="center" vertical="top" wrapText="1"/>
    </xf>
    <xf numFmtId="0" fontId="0" fillId="0" borderId="1" xfId="0" applyBorder="1" applyAlignment="1">
      <alignment horizontal="center" vertical="top" wrapText="1"/>
    </xf>
    <xf numFmtId="0" fontId="4" fillId="0" borderId="15" xfId="0" applyFont="1" applyFill="1" applyBorder="1" applyAlignment="1">
      <alignment horizontal="center" vertical="top" wrapText="1"/>
    </xf>
    <xf numFmtId="2" fontId="4" fillId="0" borderId="15" xfId="0" applyNumberFormat="1" applyFont="1" applyFill="1" applyBorder="1" applyAlignment="1">
      <alignment vertical="top" wrapText="1"/>
    </xf>
    <xf numFmtId="0" fontId="0" fillId="0" borderId="1" xfId="0" applyBorder="1" applyAlignment="1">
      <alignment vertical="top" wrapText="1"/>
    </xf>
    <xf numFmtId="0" fontId="4" fillId="0" borderId="15" xfId="0" applyFont="1" applyFill="1" applyBorder="1" applyAlignment="1">
      <alignment horizontal="center" vertical="top"/>
    </xf>
    <xf numFmtId="0" fontId="0" fillId="0" borderId="1" xfId="0" applyBorder="1" applyAlignment="1">
      <alignment horizontal="center" vertical="top"/>
    </xf>
    <xf numFmtId="49" fontId="4" fillId="0" borderId="15" xfId="0" applyNumberFormat="1" applyFont="1" applyFill="1" applyBorder="1" applyAlignment="1">
      <alignment horizontal="center" vertical="top" wrapText="1"/>
    </xf>
    <xf numFmtId="0" fontId="4" fillId="0" borderId="15" xfId="0" applyFont="1" applyFill="1" applyBorder="1" applyAlignment="1">
      <alignment vertical="top" wrapText="1"/>
    </xf>
    <xf numFmtId="49" fontId="4" fillId="0" borderId="15" xfId="0" applyNumberFormat="1" applyFont="1" applyFill="1" applyBorder="1" applyAlignment="1">
      <alignment horizontal="center" vertical="top"/>
    </xf>
    <xf numFmtId="49" fontId="4" fillId="0" borderId="15" xfId="0" applyNumberFormat="1" applyFont="1" applyFill="1" applyBorder="1" applyAlignment="1">
      <alignment horizontal="left" vertical="top" wrapText="1"/>
    </xf>
    <xf numFmtId="0" fontId="0" fillId="0" borderId="1" xfId="0" applyBorder="1" applyAlignment="1">
      <alignment horizontal="left" vertical="top" wrapText="1"/>
    </xf>
    <xf numFmtId="0" fontId="4" fillId="0" borderId="15" xfId="0" applyFont="1" applyFill="1" applyBorder="1" applyAlignment="1">
      <alignment vertical="top"/>
    </xf>
    <xf numFmtId="0" fontId="0" fillId="0" borderId="1" xfId="0" applyBorder="1" applyAlignment="1">
      <alignment vertical="top"/>
    </xf>
    <xf numFmtId="0" fontId="2" fillId="0" borderId="15" xfId="0" applyFont="1" applyFill="1" applyBorder="1" applyAlignment="1">
      <alignment horizontal="center" vertical="top"/>
    </xf>
    <xf numFmtId="2" fontId="4" fillId="0" borderId="15" xfId="0" applyNumberFormat="1" applyFont="1" applyFill="1" applyBorder="1" applyAlignment="1">
      <alignment horizontal="center" vertical="center" wrapText="1"/>
    </xf>
    <xf numFmtId="0" fontId="1" fillId="0" borderId="15" xfId="0" applyFont="1" applyFill="1" applyBorder="1" applyAlignment="1">
      <alignment wrapText="1"/>
    </xf>
    <xf numFmtId="0" fontId="0" fillId="0" borderId="1" xfId="0" applyBorder="1" applyAlignment="1">
      <alignment wrapText="1"/>
    </xf>
    <xf numFmtId="0" fontId="18" fillId="0" borderId="15" xfId="0" applyFont="1" applyFill="1" applyBorder="1" applyAlignment="1">
      <alignment horizontal="center" vertical="center"/>
    </xf>
    <xf numFmtId="0" fontId="0" fillId="0" borderId="1" xfId="0" applyBorder="1" applyAlignment="1">
      <alignment horizontal="center" vertical="center"/>
    </xf>
    <xf numFmtId="49" fontId="4" fillId="0" borderId="15" xfId="0" applyNumberFormat="1" applyFont="1" applyFill="1" applyBorder="1" applyAlignment="1">
      <alignment horizontal="center" vertical="center" wrapText="1"/>
    </xf>
    <xf numFmtId="0" fontId="27" fillId="0" borderId="2" xfId="0" applyFont="1" applyBorder="1" applyAlignment="1">
      <alignment horizontal="center" vertical="center"/>
    </xf>
    <xf numFmtId="0" fontId="0" fillId="0" borderId="2" xfId="0" applyBorder="1" applyAlignment="1"/>
    <xf numFmtId="0" fontId="4" fillId="0" borderId="39" xfId="0" applyFont="1" applyFill="1" applyBorder="1" applyAlignment="1">
      <alignment horizontal="center" vertical="top" wrapText="1"/>
    </xf>
    <xf numFmtId="0" fontId="0" fillId="0" borderId="41" xfId="0" applyBorder="1" applyAlignment="1">
      <alignment horizontal="center" vertical="top" wrapText="1"/>
    </xf>
    <xf numFmtId="0" fontId="0" fillId="0" borderId="18" xfId="0" applyBorder="1" applyAlignment="1">
      <alignment horizontal="center" vertical="top" wrapText="1"/>
    </xf>
    <xf numFmtId="0" fontId="0" fillId="0" borderId="23" xfId="0" applyBorder="1" applyAlignment="1">
      <alignment horizontal="center" vertical="top" wrapText="1"/>
    </xf>
    <xf numFmtId="0" fontId="0" fillId="0" borderId="2" xfId="0" applyBorder="1" applyAlignment="1">
      <alignment wrapText="1"/>
    </xf>
    <xf numFmtId="0" fontId="2" fillId="0" borderId="2" xfId="0" applyFont="1" applyFill="1" applyBorder="1" applyAlignment="1">
      <alignment horizontal="center" vertical="center" wrapText="1"/>
    </xf>
    <xf numFmtId="0" fontId="4" fillId="0" borderId="2" xfId="0" applyFont="1" applyFill="1" applyBorder="1" applyAlignment="1">
      <alignment horizontal="center" vertical="center"/>
    </xf>
    <xf numFmtId="49" fontId="4" fillId="0" borderId="2" xfId="0" applyNumberFormat="1" applyFont="1" applyFill="1" applyBorder="1" applyAlignment="1">
      <alignment horizontal="center" vertical="center" wrapText="1"/>
    </xf>
    <xf numFmtId="0" fontId="2" fillId="0" borderId="15" xfId="0" applyFont="1" applyFill="1" applyBorder="1" applyAlignment="1">
      <alignment horizontal="center" vertical="center" wrapText="1"/>
    </xf>
    <xf numFmtId="0" fontId="4" fillId="0" borderId="15" xfId="0" applyFont="1" applyFill="1" applyBorder="1" applyAlignment="1">
      <alignment horizontal="center" vertical="center"/>
    </xf>
    <xf numFmtId="0" fontId="2" fillId="0" borderId="15" xfId="0" applyFont="1" applyFill="1" applyBorder="1" applyAlignment="1">
      <alignment horizontal="center" vertical="center"/>
    </xf>
    <xf numFmtId="0" fontId="4" fillId="0" borderId="15" xfId="0" applyFont="1" applyFill="1" applyBorder="1" applyAlignment="1"/>
    <xf numFmtId="0" fontId="0" fillId="0" borderId="1" xfId="0" applyBorder="1" applyAlignment="1"/>
    <xf numFmtId="0" fontId="4" fillId="0" borderId="15" xfId="0" applyFont="1" applyFill="1" applyBorder="1" applyAlignment="1">
      <alignment horizontal="center" vertical="center" readingOrder="1"/>
    </xf>
    <xf numFmtId="0" fontId="0" fillId="0" borderId="1" xfId="0" applyBorder="1" applyAlignment="1">
      <alignment horizontal="center" vertical="center" readingOrder="1"/>
    </xf>
    <xf numFmtId="0" fontId="4" fillId="0" borderId="15" xfId="0" applyFont="1" applyFill="1" applyBorder="1" applyAlignment="1">
      <alignment vertical="top" wrapText="1" readingOrder="1"/>
    </xf>
    <xf numFmtId="0" fontId="16" fillId="11" borderId="32" xfId="0" applyFont="1" applyFill="1" applyBorder="1" applyAlignment="1">
      <alignment horizontal="center" vertical="center" wrapText="1"/>
    </xf>
    <xf numFmtId="0" fontId="0" fillId="0" borderId="28" xfId="0" applyBorder="1" applyAlignment="1">
      <alignment horizontal="center" vertical="center" wrapText="1"/>
    </xf>
    <xf numFmtId="0" fontId="0" fillId="0" borderId="31" xfId="0" applyBorder="1" applyAlignment="1">
      <alignment horizontal="center" vertical="center" wrapText="1"/>
    </xf>
    <xf numFmtId="0" fontId="26" fillId="12" borderId="26" xfId="0" applyFont="1" applyFill="1" applyBorder="1" applyAlignment="1">
      <alignment horizontal="center" vertical="center"/>
    </xf>
    <xf numFmtId="0" fontId="27" fillId="0" borderId="27" xfId="0" applyFont="1" applyBorder="1" applyAlignment="1">
      <alignment horizontal="center" vertical="center"/>
    </xf>
    <xf numFmtId="0" fontId="0" fillId="0" borderId="21" xfId="0" applyBorder="1" applyAlignment="1">
      <alignment horizontal="center" vertical="center"/>
    </xf>
    <xf numFmtId="0" fontId="29" fillId="4" borderId="29" xfId="0" applyFont="1" applyFill="1" applyBorder="1" applyAlignment="1">
      <alignment horizontal="center" vertical="center" wrapText="1"/>
    </xf>
    <xf numFmtId="0" fontId="29" fillId="4" borderId="25" xfId="0" applyFont="1" applyFill="1" applyBorder="1" applyAlignment="1">
      <alignment horizontal="center" vertical="center" wrapText="1"/>
    </xf>
    <xf numFmtId="2" fontId="25" fillId="4" borderId="13" xfId="0" applyNumberFormat="1" applyFont="1" applyFill="1" applyBorder="1" applyAlignment="1">
      <alignment horizontal="center" vertical="center"/>
    </xf>
    <xf numFmtId="165" fontId="29" fillId="4" borderId="29" xfId="0" applyNumberFormat="1" applyFont="1" applyFill="1" applyBorder="1" applyAlignment="1">
      <alignment horizontal="center" vertical="center" wrapText="1"/>
    </xf>
    <xf numFmtId="165" fontId="29" fillId="4" borderId="25" xfId="0" applyNumberFormat="1" applyFont="1" applyFill="1" applyBorder="1" applyAlignment="1">
      <alignment horizontal="center" vertical="center" wrapText="1"/>
    </xf>
    <xf numFmtId="0" fontId="25" fillId="4" borderId="1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9" xfId="0" applyFont="1" applyFill="1" applyBorder="1" applyAlignment="1">
      <alignment vertical="center" wrapText="1"/>
    </xf>
    <xf numFmtId="0" fontId="25" fillId="4" borderId="30" xfId="0" applyFont="1" applyFill="1" applyBorder="1" applyAlignment="1">
      <alignment vertical="center" wrapText="1"/>
    </xf>
    <xf numFmtId="0" fontId="0" fillId="0" borderId="29" xfId="0" applyBorder="1" applyAlignment="1">
      <alignment horizontal="center" vertical="center" wrapText="1"/>
    </xf>
    <xf numFmtId="0" fontId="26" fillId="12" borderId="9" xfId="0" applyFont="1" applyFill="1" applyBorder="1" applyAlignment="1">
      <alignment horizontal="center" vertical="center"/>
    </xf>
    <xf numFmtId="0" fontId="27" fillId="0" borderId="10" xfId="0" applyFont="1" applyBorder="1" applyAlignment="1">
      <alignment horizontal="center" vertical="center"/>
    </xf>
    <xf numFmtId="0" fontId="0" fillId="0" borderId="11" xfId="0" applyBorder="1" applyAlignment="1"/>
    <xf numFmtId="0" fontId="29" fillId="4" borderId="33" xfId="0" applyFont="1" applyFill="1" applyBorder="1" applyAlignment="1">
      <alignment horizontal="center" vertical="center" wrapText="1"/>
    </xf>
    <xf numFmtId="0" fontId="0" fillId="0" borderId="11" xfId="0" applyBorder="1" applyAlignment="1">
      <alignment horizontal="center" vertical="center"/>
    </xf>
    <xf numFmtId="0" fontId="21" fillId="0" borderId="9" xfId="2" applyBorder="1" applyAlignment="1">
      <alignment horizontal="center" vertical="center"/>
    </xf>
    <xf numFmtId="0" fontId="0" fillId="0" borderId="10"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7" fillId="10" borderId="9" xfId="0" applyFont="1" applyFill="1" applyBorder="1" applyAlignment="1">
      <alignment horizontal="center" vertical="center"/>
    </xf>
    <xf numFmtId="0" fontId="0" fillId="0" borderId="10" xfId="0" applyBorder="1" applyAlignment="1">
      <alignment horizontal="center"/>
    </xf>
    <xf numFmtId="165" fontId="29" fillId="4" borderId="7" xfId="0" applyNumberFormat="1" applyFont="1" applyFill="1" applyBorder="1" applyAlignment="1">
      <alignment horizontal="center" vertical="center" wrapText="1"/>
    </xf>
    <xf numFmtId="0" fontId="19" fillId="0" borderId="7" xfId="0" applyFont="1" applyFill="1" applyBorder="1" applyAlignment="1">
      <alignment horizontal="center" vertical="center" wrapText="1"/>
    </xf>
    <xf numFmtId="0" fontId="19" fillId="0" borderId="9" xfId="0" applyFont="1" applyFill="1" applyBorder="1" applyAlignment="1">
      <alignment horizontal="center" vertical="center" wrapText="1"/>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27" fillId="0" borderId="11" xfId="0" applyFont="1" applyBorder="1" applyAlignment="1">
      <alignment horizontal="center" vertical="center"/>
    </xf>
  </cellXfs>
  <cellStyles count="7">
    <cellStyle name="Hyperlink" xfId="1" builtinId="8"/>
    <cellStyle name="Normal" xfId="0" builtinId="0"/>
    <cellStyle name="Normal 2" xfId="2"/>
    <cellStyle name="Normal 2 2" xfId="5"/>
    <cellStyle name="Normal 3" xfId="4"/>
    <cellStyle name="Percent" xfId="3" builtinId="5"/>
    <cellStyle name="Percent 2" xfId="6"/>
  </cellStyles>
  <dxfs count="76">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FFC000"/>
        </patternFill>
      </fill>
    </dxf>
  </dxfs>
  <tableStyles count="0" defaultTableStyle="TableStyleMedium9" defaultPivotStyle="PivotStyleLight16"/>
  <colors>
    <mruColors>
      <color rgb="FFFFFFCC"/>
      <color rgb="FF66FF66"/>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vhav04fpc5\Projects\Documents%20and%20Settings\vhamanolsonc\Local%20Settings\Temporary%20Internet%20Files\OLK1E4\Colocation_OVERALL_CHECKLIST_NORTHAMPTON%2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ystem Disk Checklist "/>
      <sheetName val="User Disk Checklist"/>
      <sheetName val="Site Info"/>
      <sheetName val="RDPC Info"/>
      <sheetName val="Prep"/>
      <sheetName val="Test Prep"/>
      <sheetName val="Test Move"/>
      <sheetName val="Production Prep"/>
      <sheetName val="Monday"/>
      <sheetName val="Tues"/>
      <sheetName val="Wed"/>
      <sheetName val="Thu"/>
      <sheetName val="Fri"/>
      <sheetName val="Sat"/>
      <sheetName val="Sun"/>
      <sheetName val="Mon"/>
      <sheetName val="&gt;1Wk Post"/>
      <sheetName val="Doc_Ref"/>
      <sheetName val="Colors"/>
      <sheetName val="TBA"/>
      <sheetName val="Color Codes"/>
    </sheetNames>
    <sheetDataSet>
      <sheetData sheetId="0"/>
      <sheetData sheetId="1"/>
      <sheetData sheetId="2"/>
      <sheetData sheetId="3"/>
      <sheetData sheetId="4"/>
      <sheetData sheetId="5"/>
      <sheetData sheetId="6"/>
      <sheetData sheetId="7"/>
      <sheetData sheetId="8"/>
      <sheetData sheetId="9"/>
      <sheetData sheetId="10">
        <row r="5">
          <cell r="D5" t="str">
            <v>Wednesday After Successful Backup</v>
          </cell>
        </row>
        <row r="6">
          <cell r="A6" t="str">
            <v>W01</v>
          </cell>
          <cell r="B6" t="str">
            <v>HP</v>
          </cell>
          <cell r="C6" t="str">
            <v>P54</v>
          </cell>
          <cell r="D6" t="str">
            <v>unzip journal files to RDPC location</v>
          </cell>
          <cell r="E6" t="str">
            <v>Co-Location - Overall</v>
          </cell>
          <cell r="F6" t="str">
            <v>4.28</v>
          </cell>
        </row>
        <row r="7">
          <cell r="A7" t="str">
            <v>W02</v>
          </cell>
          <cell r="B7" t="str">
            <v>HP</v>
          </cell>
          <cell r="C7" t="str">
            <v>P54, TU07</v>
          </cell>
          <cell r="D7" t="str">
            <v>IF NOT USING CACHE SHADOW SERVER
              Apply journal files to RDPC instance</v>
          </cell>
          <cell r="E7" t="str">
            <v>Co-Location - Overall</v>
          </cell>
          <cell r="F7" t="str">
            <v>4.29</v>
          </cell>
        </row>
        <row r="8">
          <cell r="A8" t="str">
            <v>W03</v>
          </cell>
          <cell r="B8" t="str">
            <v>REGION/
HP</v>
          </cell>
          <cell r="C8" t="str">
            <v>P23, W02</v>
          </cell>
          <cell r="D8" t="str">
            <v xml:space="preserve">IF NOT USING CACHE SHADOW SERVER
@cache$mgr:submit_integrit  at the prompt for .DAT, answer with the site specific file. </v>
          </cell>
          <cell r="E8" t="str">
            <v>Co-Location - Overall</v>
          </cell>
          <cell r="F8" t="str">
            <v>4.24</v>
          </cell>
        </row>
        <row r="9">
          <cell r="A9" t="str">
            <v>W04</v>
          </cell>
          <cell r="B9" t="str">
            <v>ALL</v>
          </cell>
          <cell r="C9" t="str">
            <v>W03</v>
          </cell>
          <cell r="D9" t="str">
            <v>IF NOT USING CACHE SHADOW SERVER
Compare file of files between medical center's restore configuration and RDPC to validate completeness of data</v>
          </cell>
          <cell r="E9" t="str">
            <v>Co-Location - Overall</v>
          </cell>
          <cell r="F9" t="str">
            <v>6.1</v>
          </cell>
        </row>
        <row r="10">
          <cell r="A10" t="str">
            <v>W05</v>
          </cell>
          <cell r="B10" t="str">
            <v>HP</v>
          </cell>
          <cell r="D10" t="str">
            <v>Create/Modify  SYSMAN STARTUP for site specific startup files
xxx_TNLOAD.com, etc.</v>
          </cell>
          <cell r="E10" t="str">
            <v>Co-Location - Overall</v>
          </cell>
          <cell r="F10" t="str">
            <v>4.30</v>
          </cell>
        </row>
        <row r="11">
          <cell r="A11" t="str">
            <v>W06</v>
          </cell>
          <cell r="B11" t="str">
            <v>HP</v>
          </cell>
          <cell r="D11" t="str">
            <v>Run SYSTEM_QUOTAS.COM and xxx_VISTA_QUOTAS.COM to verify SYSTEM and VISTA quotas.  Only increase quotas if accounts are currently being used.</v>
          </cell>
          <cell r="E11" t="str">
            <v>Co-Location - Overall</v>
          </cell>
          <cell r="F11" t="str">
            <v>4.31</v>
          </cell>
        </row>
      </sheetData>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72"/>
  <sheetViews>
    <sheetView workbookViewId="0"/>
  </sheetViews>
  <sheetFormatPr defaultRowHeight="12.75" x14ac:dyDescent="0.2"/>
  <cols>
    <col min="1" max="1" width="91" bestFit="1" customWidth="1"/>
    <col min="2" max="12" width="8.42578125" bestFit="1" customWidth="1"/>
  </cols>
  <sheetData>
    <row r="1" spans="1:10" ht="18.75" x14ac:dyDescent="0.3">
      <c r="A1" s="9" t="s">
        <v>45</v>
      </c>
    </row>
    <row r="2" spans="1:10" ht="15.75" x14ac:dyDescent="0.25">
      <c r="A2" s="10" t="s">
        <v>46</v>
      </c>
    </row>
    <row r="3" spans="1:10" ht="15.75" x14ac:dyDescent="0.25">
      <c r="A3" s="11"/>
    </row>
    <row r="4" spans="1:10" ht="15.75" x14ac:dyDescent="0.25">
      <c r="A4" s="12" t="s">
        <v>47</v>
      </c>
      <c r="C4" s="12"/>
    </row>
    <row r="5" spans="1:10" ht="15.75" x14ac:dyDescent="0.25">
      <c r="A5" s="12" t="s">
        <v>48</v>
      </c>
      <c r="F5" s="12"/>
    </row>
    <row r="6" spans="1:10" ht="15.75" x14ac:dyDescent="0.25">
      <c r="A6" s="12" t="s">
        <v>49</v>
      </c>
      <c r="J6" s="12"/>
    </row>
    <row r="7" spans="1:10" ht="15.75" x14ac:dyDescent="0.25">
      <c r="A7" s="12" t="s">
        <v>50</v>
      </c>
      <c r="I7" s="12"/>
    </row>
    <row r="8" spans="1:10" ht="15.75" x14ac:dyDescent="0.25">
      <c r="A8" s="12" t="s">
        <v>51</v>
      </c>
      <c r="B8" s="12"/>
    </row>
    <row r="9" spans="1:10" ht="15.75" x14ac:dyDescent="0.25">
      <c r="A9" s="12" t="s">
        <v>52</v>
      </c>
      <c r="F9" s="12"/>
    </row>
    <row r="10" spans="1:10" ht="15.75" x14ac:dyDescent="0.25">
      <c r="A10" s="12" t="s">
        <v>53</v>
      </c>
      <c r="H10" s="12"/>
    </row>
    <row r="11" spans="1:10" ht="15.75" x14ac:dyDescent="0.25">
      <c r="A11" s="12" t="s">
        <v>54</v>
      </c>
      <c r="G11" s="12"/>
    </row>
    <row r="12" spans="1:10" ht="15.95" customHeight="1" x14ac:dyDescent="0.25">
      <c r="A12" s="12" t="s">
        <v>55</v>
      </c>
    </row>
    <row r="13" spans="1:10" ht="15.75" x14ac:dyDescent="0.25">
      <c r="A13" s="12" t="s">
        <v>56</v>
      </c>
      <c r="E13" s="12"/>
    </row>
    <row r="14" spans="1:10" ht="15.75" x14ac:dyDescent="0.25">
      <c r="A14" s="12" t="s">
        <v>57</v>
      </c>
      <c r="I14" s="12"/>
    </row>
    <row r="15" spans="1:10" ht="15.75" x14ac:dyDescent="0.25">
      <c r="A15" s="12" t="s">
        <v>58</v>
      </c>
      <c r="I15" s="12"/>
    </row>
    <row r="16" spans="1:10" ht="15.75" x14ac:dyDescent="0.25">
      <c r="A16" s="12" t="s">
        <v>59</v>
      </c>
      <c r="I16" s="12"/>
    </row>
    <row r="17" spans="1:12" ht="15.75" x14ac:dyDescent="0.25">
      <c r="A17" s="12" t="s">
        <v>60</v>
      </c>
      <c r="H17" s="12"/>
    </row>
    <row r="18" spans="1:12" ht="15.75" x14ac:dyDescent="0.25">
      <c r="A18" s="12" t="s">
        <v>61</v>
      </c>
      <c r="G18" s="12"/>
    </row>
    <row r="19" spans="1:12" ht="15.75" x14ac:dyDescent="0.25">
      <c r="A19" s="12" t="s">
        <v>128</v>
      </c>
      <c r="I19" s="12"/>
    </row>
    <row r="20" spans="1:12" ht="15.75" x14ac:dyDescent="0.25">
      <c r="A20" s="12" t="s">
        <v>2</v>
      </c>
      <c r="L20" s="12"/>
    </row>
    <row r="21" spans="1:12" ht="15.75" x14ac:dyDescent="0.25">
      <c r="A21" s="12" t="s">
        <v>3</v>
      </c>
      <c r="F21" s="12"/>
    </row>
    <row r="22" spans="1:12" ht="15.75" x14ac:dyDescent="0.25">
      <c r="A22" s="12" t="s">
        <v>4</v>
      </c>
      <c r="C22" s="12"/>
    </row>
    <row r="23" spans="1:12" ht="15.75" x14ac:dyDescent="0.25">
      <c r="A23" s="12" t="s">
        <v>5</v>
      </c>
      <c r="J23" s="12"/>
    </row>
    <row r="24" spans="1:12" ht="15.75" x14ac:dyDescent="0.25">
      <c r="A24" s="12" t="s">
        <v>6</v>
      </c>
      <c r="I24" s="12"/>
    </row>
    <row r="25" spans="1:12" ht="15.75" x14ac:dyDescent="0.25">
      <c r="A25" s="12" t="s">
        <v>111</v>
      </c>
      <c r="E25" s="12"/>
    </row>
    <row r="26" spans="1:12" ht="15.75" x14ac:dyDescent="0.25">
      <c r="A26" s="12" t="s">
        <v>112</v>
      </c>
      <c r="G26" s="12"/>
    </row>
    <row r="27" spans="1:12" ht="15.75" x14ac:dyDescent="0.25">
      <c r="A27" s="12" t="s">
        <v>113</v>
      </c>
      <c r="I27" s="12"/>
    </row>
    <row r="28" spans="1:12" ht="15.75" x14ac:dyDescent="0.25">
      <c r="A28" s="12" t="s">
        <v>10</v>
      </c>
      <c r="G28" s="12"/>
    </row>
    <row r="29" spans="1:12" ht="15.75" x14ac:dyDescent="0.25">
      <c r="A29" s="12" t="s">
        <v>11</v>
      </c>
      <c r="E29" s="12"/>
    </row>
    <row r="30" spans="1:12" ht="15.75" x14ac:dyDescent="0.25">
      <c r="A30" s="12" t="s">
        <v>12</v>
      </c>
      <c r="D30" s="12"/>
    </row>
    <row r="31" spans="1:12" ht="15.75" x14ac:dyDescent="0.25">
      <c r="A31" s="12" t="s">
        <v>13</v>
      </c>
      <c r="G31" s="12"/>
    </row>
    <row r="32" spans="1:12" ht="15.75" x14ac:dyDescent="0.25">
      <c r="A32" s="12" t="s">
        <v>14</v>
      </c>
      <c r="I32" s="12"/>
    </row>
    <row r="33" spans="1:11" ht="15.75" x14ac:dyDescent="0.25">
      <c r="A33" s="12" t="s">
        <v>130</v>
      </c>
      <c r="B33" s="12"/>
    </row>
    <row r="34" spans="1:11" ht="15.75" x14ac:dyDescent="0.25">
      <c r="A34" s="12" t="s">
        <v>131</v>
      </c>
      <c r="B34" s="12"/>
    </row>
    <row r="35" spans="1:11" ht="15.75" x14ac:dyDescent="0.25">
      <c r="A35" s="12" t="s">
        <v>132</v>
      </c>
      <c r="C35" s="12"/>
    </row>
    <row r="36" spans="1:11" ht="15.75" x14ac:dyDescent="0.25">
      <c r="A36" s="12" t="s">
        <v>133</v>
      </c>
      <c r="G36" s="12"/>
    </row>
    <row r="37" spans="1:11" ht="15.75" x14ac:dyDescent="0.25">
      <c r="A37" s="12" t="s">
        <v>134</v>
      </c>
      <c r="C37" s="12"/>
    </row>
    <row r="38" spans="1:11" ht="15.75" x14ac:dyDescent="0.25">
      <c r="A38" s="12" t="s">
        <v>135</v>
      </c>
      <c r="K38" s="12"/>
    </row>
    <row r="39" spans="1:11" ht="15.75" x14ac:dyDescent="0.25">
      <c r="A39" s="12" t="s">
        <v>7</v>
      </c>
      <c r="F39" s="12"/>
    </row>
    <row r="40" spans="1:11" ht="15.75" x14ac:dyDescent="0.25">
      <c r="A40" s="12" t="s">
        <v>8</v>
      </c>
      <c r="G40" s="12"/>
    </row>
    <row r="41" spans="1:11" ht="15.75" x14ac:dyDescent="0.25">
      <c r="A41" s="12" t="s">
        <v>136</v>
      </c>
      <c r="H41" s="12"/>
    </row>
    <row r="42" spans="1:11" ht="15.75" x14ac:dyDescent="0.25">
      <c r="A42" s="12" t="s">
        <v>137</v>
      </c>
      <c r="F42" s="12"/>
    </row>
    <row r="43" spans="1:11" ht="15.75" x14ac:dyDescent="0.25">
      <c r="A43" s="12" t="s">
        <v>138</v>
      </c>
      <c r="E43" s="12"/>
    </row>
    <row r="44" spans="1:11" ht="15.75" x14ac:dyDescent="0.25">
      <c r="A44" s="12" t="s">
        <v>139</v>
      </c>
      <c r="I44" s="12"/>
    </row>
    <row r="45" spans="1:11" ht="15.75" x14ac:dyDescent="0.25">
      <c r="A45" s="12" t="s">
        <v>140</v>
      </c>
      <c r="C45" s="12"/>
    </row>
    <row r="46" spans="1:11" ht="15.75" x14ac:dyDescent="0.25">
      <c r="A46" s="12" t="s">
        <v>141</v>
      </c>
      <c r="G46" s="12"/>
    </row>
    <row r="47" spans="1:11" ht="15.75" x14ac:dyDescent="0.25">
      <c r="A47" s="12" t="s">
        <v>142</v>
      </c>
      <c r="C47" s="12"/>
    </row>
    <row r="48" spans="1:11" ht="15.75" x14ac:dyDescent="0.25">
      <c r="A48" s="12" t="s">
        <v>100</v>
      </c>
      <c r="K48" s="12"/>
    </row>
    <row r="49" spans="1:11" ht="15.75" x14ac:dyDescent="0.25">
      <c r="A49" s="12" t="s">
        <v>101</v>
      </c>
      <c r="F49" s="12"/>
    </row>
    <row r="50" spans="1:11" ht="15.75" x14ac:dyDescent="0.25">
      <c r="A50" s="12" t="s">
        <v>102</v>
      </c>
      <c r="G50" s="12"/>
    </row>
    <row r="51" spans="1:11" ht="15.75" x14ac:dyDescent="0.25">
      <c r="A51" s="12" t="s">
        <v>103</v>
      </c>
      <c r="H51" s="12"/>
    </row>
    <row r="52" spans="1:11" ht="15.75" x14ac:dyDescent="0.25">
      <c r="A52" s="12" t="s">
        <v>104</v>
      </c>
      <c r="F52" s="12"/>
    </row>
    <row r="53" spans="1:11" ht="15.75" x14ac:dyDescent="0.25">
      <c r="A53" s="12" t="s">
        <v>105</v>
      </c>
      <c r="E53" s="12"/>
    </row>
    <row r="54" spans="1:11" ht="15.75" x14ac:dyDescent="0.25">
      <c r="A54" s="12" t="s">
        <v>106</v>
      </c>
      <c r="I54" s="12"/>
    </row>
    <row r="55" spans="1:11" ht="15.75" x14ac:dyDescent="0.25">
      <c r="A55" s="12" t="s">
        <v>107</v>
      </c>
      <c r="C55" s="12"/>
    </row>
    <row r="56" spans="1:11" ht="15.75" x14ac:dyDescent="0.25">
      <c r="A56" s="12" t="s">
        <v>108</v>
      </c>
      <c r="G56" s="12"/>
    </row>
    <row r="57" spans="1:11" ht="15.75" x14ac:dyDescent="0.25">
      <c r="A57" s="12" t="s">
        <v>109</v>
      </c>
      <c r="C57" s="12"/>
    </row>
    <row r="58" spans="1:11" ht="15.75" x14ac:dyDescent="0.25">
      <c r="A58" s="12" t="s">
        <v>110</v>
      </c>
      <c r="K58" s="12"/>
    </row>
    <row r="59" spans="1:11" ht="15.75" x14ac:dyDescent="0.25">
      <c r="A59" s="12" t="s">
        <v>75</v>
      </c>
      <c r="F59" s="12"/>
    </row>
    <row r="60" spans="1:11" ht="15.75" x14ac:dyDescent="0.25">
      <c r="A60" s="12" t="s">
        <v>76</v>
      </c>
      <c r="G60" s="12"/>
    </row>
    <row r="61" spans="1:11" ht="15.75" x14ac:dyDescent="0.25">
      <c r="A61" s="12" t="s">
        <v>77</v>
      </c>
      <c r="H61" s="12"/>
    </row>
    <row r="62" spans="1:11" ht="15.75" x14ac:dyDescent="0.25">
      <c r="A62" s="12" t="s">
        <v>92</v>
      </c>
      <c r="F62" s="12"/>
    </row>
    <row r="63" spans="1:11" ht="15.75" x14ac:dyDescent="0.25">
      <c r="A63" s="12" t="s">
        <v>93</v>
      </c>
      <c r="B63" s="12"/>
    </row>
    <row r="64" spans="1:11" ht="15.75" x14ac:dyDescent="0.25">
      <c r="A64" s="12" t="s">
        <v>94</v>
      </c>
    </row>
    <row r="65" spans="1:9" ht="15.75" x14ac:dyDescent="0.25">
      <c r="A65" s="12" t="s">
        <v>95</v>
      </c>
      <c r="E65" s="12"/>
    </row>
    <row r="66" spans="1:9" ht="15.75" x14ac:dyDescent="0.25">
      <c r="A66" s="12" t="s">
        <v>125</v>
      </c>
      <c r="I66" s="12"/>
    </row>
    <row r="67" spans="1:9" ht="15.75" x14ac:dyDescent="0.25">
      <c r="A67" s="12" t="s">
        <v>126</v>
      </c>
      <c r="I67" s="12"/>
    </row>
    <row r="68" spans="1:9" ht="15.75" x14ac:dyDescent="0.25">
      <c r="A68" s="12" t="s">
        <v>127</v>
      </c>
      <c r="I68" s="12"/>
    </row>
    <row r="69" spans="1:9" ht="15.75" x14ac:dyDescent="0.25">
      <c r="A69" s="12" t="s">
        <v>63</v>
      </c>
      <c r="E69" s="12"/>
    </row>
    <row r="70" spans="1:9" ht="15.75" x14ac:dyDescent="0.25">
      <c r="A70" s="12" t="s">
        <v>64</v>
      </c>
      <c r="I70" s="12"/>
    </row>
    <row r="71" spans="1:9" ht="15.75" x14ac:dyDescent="0.25">
      <c r="A71" s="12" t="s">
        <v>65</v>
      </c>
      <c r="C71" s="12"/>
    </row>
    <row r="72" spans="1:9" ht="15.75" x14ac:dyDescent="0.25">
      <c r="A72" s="12" t="s">
        <v>66</v>
      </c>
      <c r="D72" s="12"/>
    </row>
  </sheetData>
  <customSheetViews>
    <customSheetView guid="{7FBF45D6-F685-4C77-B0BA-F72AA644D01D}" state="hidden" showRuler="0">
      <pageMargins left="0.75" right="0.75" top="1" bottom="1" header="0.5" footer="0.5"/>
      <headerFooter alignWithMargins="0"/>
    </customSheetView>
    <customSheetView guid="{AC2BCB63-8807-499F-9157-FFFCFF89CB73}" state="hidden" showRuler="0">
      <pageMargins left="0.75" right="0.75" top="1" bottom="1" header="0.5" footer="0.5"/>
      <headerFooter alignWithMargins="0"/>
    </customSheetView>
  </customSheetViews>
  <phoneticPr fontId="9"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4"/>
  <sheetViews>
    <sheetView workbookViewId="0"/>
  </sheetViews>
  <sheetFormatPr defaultRowHeight="12.75" x14ac:dyDescent="0.2"/>
  <cols>
    <col min="1" max="1" width="87.85546875" bestFit="1" customWidth="1"/>
    <col min="2" max="7" width="8.42578125" bestFit="1" customWidth="1"/>
    <col min="9" max="9" width="8.42578125" bestFit="1" customWidth="1"/>
    <col min="11" max="11" width="8.42578125" bestFit="1" customWidth="1"/>
  </cols>
  <sheetData>
    <row r="1" spans="1:11" ht="18.75" x14ac:dyDescent="0.3">
      <c r="A1" s="9" t="s">
        <v>67</v>
      </c>
    </row>
    <row r="2" spans="1:11" ht="15.75" x14ac:dyDescent="0.25">
      <c r="A2" s="11"/>
    </row>
    <row r="3" spans="1:11" ht="15.75" x14ac:dyDescent="0.25">
      <c r="A3" s="12" t="s">
        <v>68</v>
      </c>
      <c r="C3" s="12"/>
    </row>
    <row r="4" spans="1:11" ht="15.75" x14ac:dyDescent="0.25">
      <c r="A4" s="12" t="s">
        <v>69</v>
      </c>
      <c r="B4" s="12"/>
    </row>
    <row r="5" spans="1:11" ht="15.75" x14ac:dyDescent="0.25">
      <c r="A5" s="12" t="s">
        <v>78</v>
      </c>
      <c r="D5" s="12"/>
    </row>
    <row r="6" spans="1:11" ht="15.75" x14ac:dyDescent="0.25">
      <c r="A6" s="12" t="s">
        <v>79</v>
      </c>
      <c r="G6" s="12"/>
    </row>
    <row r="7" spans="1:11" ht="15.75" x14ac:dyDescent="0.25">
      <c r="A7" s="12" t="s">
        <v>80</v>
      </c>
    </row>
    <row r="8" spans="1:11" ht="15.75" x14ac:dyDescent="0.25">
      <c r="A8" s="12" t="s">
        <v>81</v>
      </c>
    </row>
    <row r="9" spans="1:11" ht="15.75" x14ac:dyDescent="0.25">
      <c r="A9" s="12" t="s">
        <v>82</v>
      </c>
      <c r="K9" s="12"/>
    </row>
    <row r="10" spans="1:11" ht="15.75" x14ac:dyDescent="0.25">
      <c r="A10" s="12" t="s">
        <v>83</v>
      </c>
      <c r="C10" s="12"/>
    </row>
    <row r="11" spans="1:11" ht="15.75" x14ac:dyDescent="0.25">
      <c r="A11" s="12" t="s">
        <v>84</v>
      </c>
      <c r="E11" s="12"/>
    </row>
    <row r="12" spans="1:11" ht="15.75" x14ac:dyDescent="0.25">
      <c r="A12" s="12" t="s">
        <v>85</v>
      </c>
      <c r="E12" s="12"/>
    </row>
    <row r="13" spans="1:11" ht="15.75" x14ac:dyDescent="0.25">
      <c r="A13" s="12" t="s">
        <v>86</v>
      </c>
      <c r="E13" s="12"/>
    </row>
    <row r="14" spans="1:11" ht="15.75" x14ac:dyDescent="0.25">
      <c r="A14" s="12" t="s">
        <v>87</v>
      </c>
      <c r="I14" s="12"/>
    </row>
    <row r="15" spans="1:11" ht="15.75" x14ac:dyDescent="0.25">
      <c r="A15" s="12" t="s">
        <v>88</v>
      </c>
      <c r="G15" s="12"/>
    </row>
    <row r="16" spans="1:11" ht="15.75" x14ac:dyDescent="0.25">
      <c r="A16" s="12" t="s">
        <v>89</v>
      </c>
      <c r="E16" s="12"/>
    </row>
    <row r="17" spans="1:9" ht="15.75" x14ac:dyDescent="0.25">
      <c r="A17" s="12" t="s">
        <v>90</v>
      </c>
      <c r="E17" s="12"/>
    </row>
    <row r="18" spans="1:9" ht="15.75" x14ac:dyDescent="0.25">
      <c r="A18" s="12" t="s">
        <v>91</v>
      </c>
      <c r="F18" s="12"/>
    </row>
    <row r="19" spans="1:9" ht="15.75" x14ac:dyDescent="0.25">
      <c r="A19" s="12" t="s">
        <v>143</v>
      </c>
      <c r="I19" s="12"/>
    </row>
    <row r="20" spans="1:9" ht="15.75" x14ac:dyDescent="0.25">
      <c r="A20" s="12" t="s">
        <v>144</v>
      </c>
      <c r="I20" s="12"/>
    </row>
    <row r="21" spans="1:9" ht="15.75" x14ac:dyDescent="0.25">
      <c r="A21" s="12" t="s">
        <v>145</v>
      </c>
      <c r="E21" s="12"/>
    </row>
    <row r="22" spans="1:9" ht="15.75" x14ac:dyDescent="0.25">
      <c r="A22" s="12" t="s">
        <v>146</v>
      </c>
      <c r="E22" s="12"/>
    </row>
    <row r="23" spans="1:9" ht="15.75" x14ac:dyDescent="0.25">
      <c r="A23" s="12" t="s">
        <v>147</v>
      </c>
      <c r="I23" s="12"/>
    </row>
    <row r="24" spans="1:9" ht="15.75" x14ac:dyDescent="0.25">
      <c r="A24" s="12" t="s">
        <v>149</v>
      </c>
      <c r="F24" s="12"/>
    </row>
  </sheetData>
  <customSheetViews>
    <customSheetView guid="{7FBF45D6-F685-4C77-B0BA-F72AA644D01D}" state="hidden" showRuler="0">
      <pageMargins left="0.75" right="0.75" top="1" bottom="1" header="0.5" footer="0.5"/>
      <headerFooter alignWithMargins="0"/>
    </customSheetView>
    <customSheetView guid="{AC2BCB63-8807-499F-9157-FFFCFF89CB73}" state="hidden" showRuler="0">
      <pageMargins left="0.75" right="0.75" top="1" bottom="1" header="0.5" footer="0.5"/>
      <headerFooter alignWithMargins="0"/>
    </customSheetView>
  </customSheetViews>
  <phoneticPr fontId="9"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46"/>
  <sheetViews>
    <sheetView workbookViewId="0">
      <selection activeCell="A19" sqref="A19:A25"/>
    </sheetView>
  </sheetViews>
  <sheetFormatPr defaultRowHeight="12.75" x14ac:dyDescent="0.2"/>
  <cols>
    <col min="1" max="1" width="30.140625" bestFit="1" customWidth="1"/>
    <col min="2" max="2" width="26" customWidth="1"/>
    <col min="3" max="3" width="19.28515625" customWidth="1"/>
    <col min="4" max="4" width="14.140625" customWidth="1"/>
    <col min="5" max="5" width="30" bestFit="1" customWidth="1"/>
    <col min="6" max="6" width="16.85546875" customWidth="1"/>
  </cols>
  <sheetData>
    <row r="1" spans="1:6" ht="18.75" thickBot="1" x14ac:dyDescent="0.25">
      <c r="A1" s="381" t="s">
        <v>175</v>
      </c>
      <c r="B1" s="381"/>
      <c r="C1" s="381"/>
      <c r="D1" s="381"/>
      <c r="E1" s="381"/>
      <c r="F1" s="382"/>
    </row>
    <row r="2" spans="1:6" x14ac:dyDescent="0.2">
      <c r="A2" s="66"/>
      <c r="B2" s="239" t="s">
        <v>22</v>
      </c>
      <c r="C2" s="68" t="s">
        <v>23</v>
      </c>
      <c r="D2" s="68" t="s">
        <v>99</v>
      </c>
      <c r="E2" s="69" t="s">
        <v>24</v>
      </c>
      <c r="F2" s="69" t="s">
        <v>176</v>
      </c>
    </row>
    <row r="3" spans="1:6" x14ac:dyDescent="0.2">
      <c r="A3" s="383" t="s">
        <v>652</v>
      </c>
      <c r="B3" s="22"/>
      <c r="C3" s="22"/>
      <c r="D3" s="22"/>
      <c r="E3" s="65"/>
      <c r="F3" s="86"/>
    </row>
    <row r="4" spans="1:6" x14ac:dyDescent="0.2">
      <c r="A4" s="384"/>
      <c r="B4" s="22"/>
      <c r="C4" s="22"/>
      <c r="D4" s="22"/>
      <c r="E4" s="65"/>
      <c r="F4" s="86"/>
    </row>
    <row r="5" spans="1:6" x14ac:dyDescent="0.2">
      <c r="A5" s="384"/>
      <c r="B5" s="22"/>
      <c r="C5" s="22"/>
      <c r="D5" s="22"/>
      <c r="E5" s="65"/>
      <c r="F5" s="86"/>
    </row>
    <row r="6" spans="1:6" x14ac:dyDescent="0.2">
      <c r="A6" s="384"/>
      <c r="B6" s="22"/>
      <c r="C6" s="22"/>
      <c r="D6" s="22"/>
      <c r="E6" s="65"/>
      <c r="F6" s="86"/>
    </row>
    <row r="7" spans="1:6" x14ac:dyDescent="0.2">
      <c r="A7" s="384"/>
      <c r="B7" s="22"/>
      <c r="C7" s="22"/>
      <c r="D7" s="22"/>
      <c r="E7" s="65"/>
      <c r="F7" s="86"/>
    </row>
    <row r="8" spans="1:6" x14ac:dyDescent="0.2">
      <c r="A8" s="384"/>
      <c r="B8" s="22"/>
      <c r="C8" s="22"/>
      <c r="D8" s="22"/>
      <c r="E8" s="65"/>
      <c r="F8" s="86"/>
    </row>
    <row r="9" spans="1:6" x14ac:dyDescent="0.2">
      <c r="A9" s="385"/>
      <c r="B9" s="22"/>
      <c r="C9" s="22"/>
      <c r="D9" s="22"/>
      <c r="E9" s="65"/>
      <c r="F9" s="86"/>
    </row>
    <row r="10" spans="1:6" x14ac:dyDescent="0.2">
      <c r="A10" s="385"/>
      <c r="B10" s="22"/>
      <c r="C10" s="21"/>
      <c r="D10" s="21"/>
      <c r="E10" s="65"/>
      <c r="F10" s="86"/>
    </row>
    <row r="11" spans="1:6" x14ac:dyDescent="0.2">
      <c r="A11" s="385"/>
      <c r="B11" s="22"/>
      <c r="C11" s="22"/>
      <c r="D11" s="22"/>
      <c r="E11" s="65"/>
      <c r="F11" s="86"/>
    </row>
    <row r="12" spans="1:6" x14ac:dyDescent="0.2">
      <c r="A12" s="385"/>
      <c r="B12" s="22"/>
      <c r="C12" s="22"/>
      <c r="D12" s="22"/>
      <c r="E12" s="65"/>
      <c r="F12" s="86"/>
    </row>
    <row r="13" spans="1:6" x14ac:dyDescent="0.2">
      <c r="A13" s="385"/>
      <c r="B13" s="22"/>
      <c r="C13" s="22"/>
      <c r="D13" s="22"/>
      <c r="E13" s="65"/>
      <c r="F13" s="86"/>
    </row>
    <row r="14" spans="1:6" x14ac:dyDescent="0.2">
      <c r="A14" s="385"/>
      <c r="B14" s="22"/>
      <c r="C14" s="22"/>
      <c r="D14" s="22"/>
      <c r="E14" s="65"/>
      <c r="F14" s="86"/>
    </row>
    <row r="15" spans="1:6" x14ac:dyDescent="0.2">
      <c r="A15" s="385"/>
      <c r="B15" s="22"/>
      <c r="C15" s="22"/>
      <c r="D15" s="22"/>
      <c r="E15" s="65"/>
      <c r="F15" s="86"/>
    </row>
    <row r="16" spans="1:6" x14ac:dyDescent="0.2">
      <c r="A16" s="385"/>
      <c r="B16" s="22"/>
      <c r="C16" s="22"/>
      <c r="D16" s="16"/>
      <c r="E16" s="65"/>
      <c r="F16" s="86"/>
    </row>
    <row r="17" spans="1:6" x14ac:dyDescent="0.2">
      <c r="A17" s="385"/>
      <c r="B17" s="22"/>
      <c r="C17" s="22"/>
      <c r="D17" s="22"/>
      <c r="E17" s="65"/>
      <c r="F17" s="86"/>
    </row>
    <row r="18" spans="1:6" x14ac:dyDescent="0.2">
      <c r="A18" s="386"/>
      <c r="B18" s="91"/>
      <c r="C18" s="91"/>
      <c r="D18" s="91"/>
      <c r="E18" s="139"/>
      <c r="F18" s="139"/>
    </row>
    <row r="19" spans="1:6" x14ac:dyDescent="0.2">
      <c r="A19" s="387" t="s">
        <v>614</v>
      </c>
      <c r="B19" s="347"/>
      <c r="C19" s="22"/>
      <c r="D19" s="22"/>
      <c r="E19" s="65"/>
      <c r="F19" s="86"/>
    </row>
    <row r="20" spans="1:6" x14ac:dyDescent="0.2">
      <c r="A20" s="388"/>
      <c r="B20" s="347"/>
      <c r="C20" s="22"/>
      <c r="D20" s="22"/>
      <c r="E20" s="65"/>
      <c r="F20" s="86"/>
    </row>
    <row r="21" spans="1:6" x14ac:dyDescent="0.2">
      <c r="A21" s="388"/>
      <c r="B21" s="347"/>
      <c r="C21" s="22"/>
      <c r="D21" s="22"/>
      <c r="E21" s="65"/>
      <c r="F21" s="86"/>
    </row>
    <row r="22" spans="1:6" x14ac:dyDescent="0.2">
      <c r="A22" s="388"/>
      <c r="B22" s="347"/>
      <c r="C22" s="22"/>
      <c r="D22" s="22"/>
      <c r="E22" s="65"/>
      <c r="F22" s="86"/>
    </row>
    <row r="23" spans="1:6" x14ac:dyDescent="0.2">
      <c r="A23" s="388"/>
      <c r="B23" s="347"/>
      <c r="C23" s="22"/>
      <c r="D23" s="22"/>
      <c r="E23" s="65"/>
      <c r="F23" s="86"/>
    </row>
    <row r="24" spans="1:6" x14ac:dyDescent="0.2">
      <c r="A24" s="388"/>
      <c r="B24" s="347"/>
      <c r="C24" s="22"/>
      <c r="D24" s="22"/>
      <c r="E24" s="65"/>
      <c r="F24" s="86"/>
    </row>
    <row r="25" spans="1:6" x14ac:dyDescent="0.2">
      <c r="A25" s="388"/>
      <c r="B25" s="347"/>
      <c r="C25" s="22"/>
      <c r="D25" s="22"/>
      <c r="E25" s="65"/>
      <c r="F25" s="86"/>
    </row>
    <row r="26" spans="1:6" x14ac:dyDescent="0.2">
      <c r="A26" s="348"/>
      <c r="B26" s="347"/>
      <c r="C26" s="22"/>
      <c r="D26" s="22"/>
      <c r="E26" s="65"/>
      <c r="F26" s="86"/>
    </row>
    <row r="27" spans="1:6" x14ac:dyDescent="0.2">
      <c r="A27" s="348"/>
      <c r="B27" s="347"/>
      <c r="C27" s="22"/>
      <c r="D27" s="22"/>
      <c r="E27" s="65"/>
      <c r="F27" s="86"/>
    </row>
    <row r="28" spans="1:6" x14ac:dyDescent="0.2">
      <c r="A28" s="348"/>
      <c r="B28" s="347"/>
      <c r="C28" s="22"/>
      <c r="D28" s="22"/>
      <c r="E28" s="65"/>
      <c r="F28" s="86"/>
    </row>
    <row r="29" spans="1:6" x14ac:dyDescent="0.2">
      <c r="A29" s="348"/>
      <c r="B29" s="347"/>
      <c r="C29" s="22"/>
      <c r="D29" s="22"/>
      <c r="E29" s="65"/>
      <c r="F29" s="86"/>
    </row>
    <row r="30" spans="1:6" x14ac:dyDescent="0.2">
      <c r="A30" s="348"/>
      <c r="B30" s="347"/>
      <c r="C30" s="22"/>
      <c r="D30" s="22"/>
      <c r="E30" s="65"/>
      <c r="F30" s="86"/>
    </row>
    <row r="31" spans="1:6" x14ac:dyDescent="0.2">
      <c r="A31" s="348"/>
      <c r="B31" s="347"/>
      <c r="C31" s="22"/>
      <c r="D31" s="22"/>
      <c r="E31" s="65"/>
      <c r="F31" s="86"/>
    </row>
    <row r="32" spans="1:6" x14ac:dyDescent="0.2">
      <c r="A32" s="348"/>
      <c r="B32" s="347"/>
      <c r="C32" s="22"/>
      <c r="D32" s="22"/>
      <c r="E32" s="65"/>
      <c r="F32" s="86"/>
    </row>
    <row r="33" spans="1:6" x14ac:dyDescent="0.2">
      <c r="A33" s="348"/>
      <c r="B33" s="347"/>
      <c r="C33" s="22"/>
      <c r="D33" s="22"/>
      <c r="E33" s="65"/>
      <c r="F33" s="86"/>
    </row>
    <row r="34" spans="1:6" x14ac:dyDescent="0.2">
      <c r="A34" s="348"/>
      <c r="B34" s="347"/>
      <c r="C34" s="22"/>
      <c r="D34" s="22"/>
      <c r="E34" s="65"/>
      <c r="F34" s="86"/>
    </row>
    <row r="35" spans="1:6" x14ac:dyDescent="0.2">
      <c r="A35" s="348"/>
      <c r="B35" s="347"/>
      <c r="C35" s="22"/>
      <c r="D35" s="22"/>
      <c r="E35" s="65"/>
      <c r="F35" s="86"/>
    </row>
    <row r="36" spans="1:6" x14ac:dyDescent="0.2">
      <c r="A36" s="348"/>
      <c r="B36" s="347"/>
      <c r="C36" s="22"/>
      <c r="D36" s="22"/>
      <c r="E36" s="65"/>
      <c r="F36" s="86"/>
    </row>
    <row r="37" spans="1:6" x14ac:dyDescent="0.2">
      <c r="A37" s="348"/>
      <c r="B37" s="347"/>
      <c r="C37" s="22"/>
      <c r="D37" s="22"/>
      <c r="E37" s="65"/>
      <c r="F37" s="86"/>
    </row>
    <row r="38" spans="1:6" x14ac:dyDescent="0.2">
      <c r="A38" s="348"/>
      <c r="B38" s="347"/>
      <c r="C38" s="22"/>
      <c r="D38" s="22"/>
      <c r="E38" s="65"/>
      <c r="F38" s="86"/>
    </row>
    <row r="39" spans="1:6" x14ac:dyDescent="0.2">
      <c r="A39" s="348"/>
      <c r="B39" s="347"/>
      <c r="C39" s="22"/>
      <c r="D39" s="22"/>
      <c r="E39" s="65"/>
      <c r="F39" s="86"/>
    </row>
    <row r="40" spans="1:6" x14ac:dyDescent="0.2">
      <c r="A40" s="269"/>
      <c r="B40" s="347"/>
      <c r="C40" s="22"/>
      <c r="D40" s="22"/>
      <c r="E40" s="65"/>
      <c r="F40" s="86"/>
    </row>
    <row r="41" spans="1:6" x14ac:dyDescent="0.2">
      <c r="A41" s="348"/>
      <c r="B41" s="347"/>
      <c r="C41" s="22"/>
      <c r="D41" s="22"/>
      <c r="E41" s="65"/>
      <c r="F41" s="86"/>
    </row>
    <row r="42" spans="1:6" x14ac:dyDescent="0.2">
      <c r="A42" s="348"/>
      <c r="B42" s="347"/>
      <c r="C42" s="22"/>
      <c r="D42" s="22"/>
      <c r="E42" s="65"/>
      <c r="F42" s="86"/>
    </row>
    <row r="43" spans="1:6" x14ac:dyDescent="0.2">
      <c r="A43" s="348"/>
      <c r="B43" s="347"/>
      <c r="C43" s="22"/>
      <c r="D43" s="22"/>
      <c r="E43" s="65"/>
      <c r="F43" s="86"/>
    </row>
    <row r="44" spans="1:6" x14ac:dyDescent="0.2">
      <c r="A44" s="348"/>
      <c r="B44" s="347"/>
      <c r="C44" s="22"/>
      <c r="D44" s="22"/>
      <c r="E44" s="65"/>
      <c r="F44" s="86"/>
    </row>
    <row r="45" spans="1:6" x14ac:dyDescent="0.2">
      <c r="A45" s="348"/>
      <c r="B45" s="347"/>
      <c r="C45" s="22"/>
      <c r="D45" s="22"/>
      <c r="E45" s="65"/>
      <c r="F45" s="86"/>
    </row>
    <row r="46" spans="1:6" x14ac:dyDescent="0.2">
      <c r="A46" s="269"/>
      <c r="B46" s="347"/>
      <c r="C46" s="22"/>
      <c r="D46" s="22"/>
      <c r="E46" s="65"/>
      <c r="F46" s="86"/>
    </row>
  </sheetData>
  <customSheetViews>
    <customSheetView guid="{7FBF45D6-F685-4C77-B0BA-F72AA644D01D}" showRuler="0" topLeftCell="A16">
      <selection activeCell="B22" sqref="B22"/>
      <pageMargins left="0.75" right="0.75" top="1" bottom="1" header="0.5" footer="0.5"/>
      <pageSetup orientation="landscape" horizontalDpi="300" verticalDpi="300" r:id="rId1"/>
      <headerFooter alignWithMargins="0">
        <oddHeader>&amp;C&amp;F
&amp;D</oddHeader>
      </headerFooter>
    </customSheetView>
    <customSheetView guid="{AC2BCB63-8807-499F-9157-FFFCFF89CB73}" showRuler="0" topLeftCell="A16">
      <selection activeCell="B22" sqref="B22"/>
      <pageMargins left="0.75" right="0.75" top="1" bottom="1" header="0.5" footer="0.5"/>
      <pageSetup orientation="landscape" horizontalDpi="300" verticalDpi="300" r:id="rId2"/>
      <headerFooter alignWithMargins="0">
        <oddHeader>&amp;C&amp;F
&amp;D</oddHeader>
      </headerFooter>
    </customSheetView>
  </customSheetViews>
  <mergeCells count="3">
    <mergeCell ref="A1:F1"/>
    <mergeCell ref="A3:A18"/>
    <mergeCell ref="A19:A25"/>
  </mergeCells>
  <phoneticPr fontId="9" type="noConversion"/>
  <printOptions horizontalCentered="1"/>
  <pageMargins left="0.5" right="0.5" top="0.55000000000000004" bottom="0.75" header="0.25" footer="0.5"/>
  <pageSetup scale="86" fitToHeight="0" orientation="portrait" horizontalDpi="300" verticalDpi="300" r:id="rId3"/>
  <headerFooter alignWithMargins="0">
    <oddHeader>&amp;C&amp;F
&amp;D</oddHeader>
    <oddFooter>&amp;LVistA Co-Location RDPC information page&amp;C&amp;D&amp;RPage &amp;P of &amp;N Pages</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J19"/>
  <sheetViews>
    <sheetView showGridLines="0" zoomScale="90" zoomScaleNormal="90" workbookViewId="0">
      <pane ySplit="4" topLeftCell="A5" activePane="bottomLeft" state="frozen"/>
      <selection pane="bottomLeft" activeCell="D7" sqref="D7"/>
    </sheetView>
  </sheetViews>
  <sheetFormatPr defaultRowHeight="12.75" x14ac:dyDescent="0.2"/>
  <cols>
    <col min="1" max="1" width="9.140625" style="55"/>
    <col min="2" max="2" width="7.85546875" customWidth="1"/>
    <col min="3" max="3" width="49.7109375" customWidth="1"/>
    <col min="4" max="4" width="21.7109375" customWidth="1"/>
    <col min="5" max="5" width="13.140625" style="55" customWidth="1"/>
    <col min="6" max="6" width="16.85546875" style="23" customWidth="1"/>
    <col min="7" max="7" width="28.85546875" style="196" customWidth="1"/>
    <col min="8" max="8" width="34.5703125" customWidth="1"/>
    <col min="9" max="9" width="28.5703125" style="23" customWidth="1"/>
    <col min="10" max="10" width="29.140625" style="34" customWidth="1"/>
  </cols>
  <sheetData>
    <row r="1" spans="1:10" ht="12.75" customHeight="1" x14ac:dyDescent="0.2">
      <c r="A1" s="398" t="s">
        <v>31</v>
      </c>
      <c r="B1" s="399" t="s">
        <v>559</v>
      </c>
      <c r="C1" s="401" t="s">
        <v>32</v>
      </c>
      <c r="D1" s="403" t="s">
        <v>33</v>
      </c>
      <c r="E1" s="403"/>
      <c r="F1" s="404" t="s">
        <v>160</v>
      </c>
      <c r="G1" s="405" t="s">
        <v>151</v>
      </c>
      <c r="H1" s="389" t="s">
        <v>161</v>
      </c>
      <c r="I1" s="87"/>
      <c r="J1"/>
    </row>
    <row r="2" spans="1:10" ht="27.75" customHeight="1" x14ac:dyDescent="0.2">
      <c r="A2" s="398"/>
      <c r="B2" s="400"/>
      <c r="C2" s="402"/>
      <c r="D2" s="333" t="s">
        <v>34</v>
      </c>
      <c r="E2" s="333" t="s">
        <v>35</v>
      </c>
      <c r="F2" s="404"/>
      <c r="G2" s="405"/>
      <c r="H2" s="389"/>
      <c r="I2" s="87"/>
      <c r="J2"/>
    </row>
    <row r="3" spans="1:10" ht="18" x14ac:dyDescent="0.2">
      <c r="A3" s="390" t="s">
        <v>250</v>
      </c>
      <c r="B3" s="391"/>
      <c r="C3" s="392"/>
      <c r="D3" s="392"/>
      <c r="E3" s="392"/>
      <c r="F3" s="392"/>
      <c r="G3" s="392"/>
      <c r="H3" s="393"/>
      <c r="I3" s="87"/>
      <c r="J3"/>
    </row>
    <row r="4" spans="1:10" ht="13.5" customHeight="1" x14ac:dyDescent="0.2">
      <c r="A4" s="394" t="s">
        <v>577</v>
      </c>
      <c r="B4" s="394"/>
      <c r="C4" s="394"/>
      <c r="D4" s="394"/>
      <c r="E4" s="394"/>
      <c r="F4" s="394"/>
      <c r="G4" s="394"/>
      <c r="H4" s="394"/>
      <c r="I4" s="87"/>
      <c r="J4"/>
    </row>
    <row r="5" spans="1:10" s="105" customFormat="1" ht="15" x14ac:dyDescent="0.2">
      <c r="A5" s="395" t="s">
        <v>479</v>
      </c>
      <c r="B5" s="396"/>
      <c r="C5" s="396"/>
      <c r="D5" s="396"/>
      <c r="E5" s="396"/>
      <c r="F5" s="396"/>
      <c r="G5" s="396"/>
      <c r="H5" s="397"/>
      <c r="I5" s="88"/>
    </row>
    <row r="6" spans="1:10" s="105" customFormat="1" ht="108" x14ac:dyDescent="0.2">
      <c r="A6" s="118" t="s">
        <v>485</v>
      </c>
      <c r="B6" s="108"/>
      <c r="C6" s="334" t="s">
        <v>480</v>
      </c>
      <c r="D6" s="116"/>
      <c r="E6" s="335"/>
      <c r="F6" s="377" t="s">
        <v>660</v>
      </c>
      <c r="G6" s="191"/>
      <c r="H6" s="256"/>
      <c r="I6" s="88"/>
    </row>
    <row r="7" spans="1:10" s="51" customFormat="1" ht="229.5" x14ac:dyDescent="0.2">
      <c r="A7" s="118" t="s">
        <v>486</v>
      </c>
      <c r="B7" s="293" t="s">
        <v>502</v>
      </c>
      <c r="C7" s="294" t="s">
        <v>440</v>
      </c>
      <c r="D7" s="126"/>
      <c r="E7" s="378"/>
      <c r="F7" s="377" t="s">
        <v>534</v>
      </c>
      <c r="G7" s="191"/>
      <c r="H7" s="379"/>
    </row>
    <row r="8" spans="1:10" s="51" customFormat="1" ht="38.25" x14ac:dyDescent="0.2">
      <c r="A8" s="118" t="s">
        <v>487</v>
      </c>
      <c r="B8" s="108" t="s">
        <v>502</v>
      </c>
      <c r="C8" s="297" t="s">
        <v>527</v>
      </c>
      <c r="D8" s="126"/>
      <c r="E8" s="200"/>
      <c r="F8" s="159" t="s">
        <v>532</v>
      </c>
      <c r="G8" s="193"/>
      <c r="H8" s="255"/>
    </row>
    <row r="9" spans="1:10" s="133" customFormat="1" ht="240" x14ac:dyDescent="0.2">
      <c r="A9" s="118" t="s">
        <v>488</v>
      </c>
      <c r="B9" s="108"/>
      <c r="C9" s="110" t="s">
        <v>481</v>
      </c>
      <c r="D9" s="116" t="s">
        <v>482</v>
      </c>
      <c r="E9" s="111" t="s">
        <v>173</v>
      </c>
      <c r="F9" s="24" t="s">
        <v>532</v>
      </c>
      <c r="G9" s="191"/>
      <c r="H9" s="61"/>
      <c r="I9" s="105"/>
    </row>
    <row r="10" spans="1:10" s="133" customFormat="1" ht="24" x14ac:dyDescent="0.2">
      <c r="A10" s="118" t="s">
        <v>489</v>
      </c>
      <c r="B10" s="337" t="s">
        <v>503</v>
      </c>
      <c r="C10" s="108" t="s">
        <v>318</v>
      </c>
      <c r="D10" s="129"/>
      <c r="E10" s="111"/>
      <c r="F10" s="24" t="s">
        <v>532</v>
      </c>
      <c r="G10" s="191"/>
      <c r="H10" s="244" t="s">
        <v>504</v>
      </c>
    </row>
    <row r="11" spans="1:10" s="132" customFormat="1" ht="240" x14ac:dyDescent="0.2">
      <c r="A11" s="118" t="s">
        <v>490</v>
      </c>
      <c r="B11" s="108"/>
      <c r="C11" s="108" t="s">
        <v>415</v>
      </c>
      <c r="D11" s="129"/>
      <c r="E11" s="111"/>
      <c r="F11" s="24" t="s">
        <v>532</v>
      </c>
      <c r="G11" s="191"/>
      <c r="H11" s="244"/>
    </row>
    <row r="12" spans="1:10" s="105" customFormat="1" ht="168" x14ac:dyDescent="0.2">
      <c r="A12" s="118" t="s">
        <v>491</v>
      </c>
      <c r="B12" s="108"/>
      <c r="C12" s="114" t="s">
        <v>484</v>
      </c>
      <c r="D12" s="129"/>
      <c r="E12" s="111"/>
      <c r="F12" s="24" t="s">
        <v>532</v>
      </c>
      <c r="G12" s="191"/>
      <c r="H12" s="166"/>
      <c r="I12" s="88"/>
    </row>
    <row r="13" spans="1:10" x14ac:dyDescent="0.2">
      <c r="A13" s="118" t="s">
        <v>492</v>
      </c>
      <c r="B13" s="108"/>
      <c r="C13" s="114" t="s">
        <v>483</v>
      </c>
      <c r="D13" s="129"/>
      <c r="E13" s="111"/>
      <c r="F13" s="108"/>
      <c r="G13" s="195"/>
      <c r="H13" s="117"/>
    </row>
    <row r="14" spans="1:10" s="23" customFormat="1" x14ac:dyDescent="0.2">
      <c r="A14" s="143"/>
      <c r="B14"/>
      <c r="C14"/>
      <c r="D14"/>
      <c r="E14" s="55"/>
      <c r="G14" s="196"/>
      <c r="H14"/>
      <c r="J14" s="34"/>
    </row>
    <row r="16" spans="1:10" s="23" customFormat="1" ht="18.75" x14ac:dyDescent="0.3">
      <c r="A16" s="55"/>
      <c r="B16"/>
      <c r="C16"/>
      <c r="D16"/>
      <c r="E16" s="55"/>
      <c r="F16" s="271">
        <f>(COUNTIF(G5:G13,"&gt;41079"))</f>
        <v>0</v>
      </c>
      <c r="G16" s="227" t="e">
        <f>(COUNTIF(G5:G13,"&gt;41079")/F19)</f>
        <v>#REF!</v>
      </c>
      <c r="H16" s="160" t="s">
        <v>403</v>
      </c>
      <c r="J16" s="34"/>
    </row>
    <row r="17" spans="1:10" s="23" customFormat="1" ht="18.75" x14ac:dyDescent="0.3">
      <c r="A17" s="55"/>
      <c r="B17"/>
      <c r="C17"/>
      <c r="D17"/>
      <c r="E17" s="55"/>
      <c r="F17" s="271" t="e">
        <f>(COUNTIF(#REF!,"*In Progress*")+COUNTIF(#REF!,"*In Progress*")+COUNTIF(G6:G8,"*In Progress*")+COUNTIF(#REF!,"*In Progress*")+COUNTIF(G9:G9,"*In Progress*")+COUNTIF(#REF!,"*In Progress*")+COUNTIF(#REF!,"*In Progress*")+COUNTIF(#REF!,"*In Progress*")+COUNTIF(#REF!,"*In Progress*")+COUNTIF(G10:G12,"*In Progress*"))</f>
        <v>#REF!</v>
      </c>
      <c r="G17" s="227" t="e">
        <f>(COUNTIF(#REF!,"*In Progress*")+COUNTIF(#REF!,"*In Progress*")+COUNTIF(G6:G8,"*In Progress*")+COUNTIF(#REF!,"*In Progress*")+COUNTIF(G9:G9,"*In Progress*")+COUNTIF(#REF!,"*In Progress*")+COUNTIF(#REF!,"*In Progress*")+COUNTIF(#REF!,"*In Progress*")+COUNTIF(#REF!,"*In Progress*")+COUNTIF(G10:G12,"*In Progress*"))/F19</f>
        <v>#REF!</v>
      </c>
      <c r="H17" s="161" t="s">
        <v>404</v>
      </c>
      <c r="J17" s="34"/>
    </row>
    <row r="18" spans="1:10" s="23" customFormat="1" ht="18.75" x14ac:dyDescent="0.3">
      <c r="A18" s="55"/>
      <c r="B18"/>
      <c r="C18"/>
      <c r="D18"/>
      <c r="E18" s="55"/>
      <c r="F18" s="272"/>
      <c r="G18" s="227"/>
      <c r="H18" s="162"/>
      <c r="J18" s="34"/>
    </row>
    <row r="19" spans="1:10" s="23" customFormat="1" ht="18.75" x14ac:dyDescent="0.3">
      <c r="A19" s="55"/>
      <c r="B19"/>
      <c r="C19"/>
      <c r="D19"/>
      <c r="E19" s="55"/>
      <c r="F19" s="271" t="e">
        <f>F16+F17</f>
        <v>#REF!</v>
      </c>
      <c r="G19" s="227" t="e">
        <f>G16+G17</f>
        <v>#REF!</v>
      </c>
      <c r="H19" s="162"/>
      <c r="J19" s="34"/>
    </row>
  </sheetData>
  <mergeCells count="10">
    <mergeCell ref="H1:H2"/>
    <mergeCell ref="A3:H3"/>
    <mergeCell ref="A4:H4"/>
    <mergeCell ref="A5:H5"/>
    <mergeCell ref="A1:A2"/>
    <mergeCell ref="B1:B2"/>
    <mergeCell ref="C1:C2"/>
    <mergeCell ref="D1:E1"/>
    <mergeCell ref="F1:F2"/>
    <mergeCell ref="G1:G2"/>
  </mergeCells>
  <conditionalFormatting sqref="G6:G12">
    <cfRule type="containsText" dxfId="75" priority="14" operator="containsText" text="*In Progress*">
      <formula>NOT(ISERROR(SEARCH("*In Progress*",G6)))</formula>
    </cfRule>
  </conditionalFormatting>
  <conditionalFormatting sqref="G1:G1048576">
    <cfRule type="cellIs" dxfId="74" priority="5" operator="between">
      <formula>40179</formula>
      <formula>46022</formula>
    </cfRule>
  </conditionalFormatting>
  <printOptions horizontalCentered="1"/>
  <pageMargins left="0.75" right="0.75" top="1" bottom="1" header="0.5" footer="0.5"/>
  <pageSetup scale="58" fitToHeight="0" orientation="landscape" horizontalDpi="300" verticalDpi="300" r:id="rId1"/>
  <headerFooter alignWithMargins="0">
    <oddHeader>&amp;C&amp;F
Co-Location Preparation</oddHeader>
    <oddFooter>&amp;LCo-Location Preparation Activities&amp;C&amp;D&amp;RPage &amp;P of &amp;N Pages</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J77"/>
  <sheetViews>
    <sheetView showGridLines="0" zoomScaleNormal="100" workbookViewId="0">
      <pane ySplit="4" topLeftCell="A11" activePane="bottomLeft" state="frozen"/>
      <selection pane="bottomLeft" activeCell="D20" sqref="D20"/>
    </sheetView>
  </sheetViews>
  <sheetFormatPr defaultRowHeight="12.75" x14ac:dyDescent="0.2"/>
  <cols>
    <col min="1" max="1" width="9.140625" style="55"/>
    <col min="2" max="2" width="7.85546875" customWidth="1"/>
    <col min="3" max="3" width="49.7109375" customWidth="1"/>
    <col min="4" max="4" width="21.7109375" customWidth="1"/>
    <col min="5" max="5" width="13.140625" style="55" customWidth="1"/>
    <col min="6" max="6" width="16.85546875" style="23" customWidth="1"/>
    <col min="7" max="7" width="28.85546875" style="196" customWidth="1"/>
    <col min="8" max="8" width="34.5703125" customWidth="1"/>
    <col min="9" max="9" width="28.5703125" style="23" customWidth="1"/>
    <col min="10" max="10" width="29.140625" style="34" customWidth="1"/>
  </cols>
  <sheetData>
    <row r="1" spans="1:10" ht="12.75" customHeight="1" x14ac:dyDescent="0.2">
      <c r="A1" s="398" t="s">
        <v>31</v>
      </c>
      <c r="B1" s="399" t="s">
        <v>559</v>
      </c>
      <c r="C1" s="401" t="s">
        <v>32</v>
      </c>
      <c r="D1" s="403" t="s">
        <v>33</v>
      </c>
      <c r="E1" s="403"/>
      <c r="F1" s="404" t="s">
        <v>160</v>
      </c>
      <c r="G1" s="405" t="s">
        <v>151</v>
      </c>
      <c r="H1" s="389" t="s">
        <v>161</v>
      </c>
      <c r="I1" s="87"/>
      <c r="J1"/>
    </row>
    <row r="2" spans="1:10" ht="27.75" customHeight="1" x14ac:dyDescent="0.2">
      <c r="A2" s="398"/>
      <c r="B2" s="400"/>
      <c r="C2" s="402"/>
      <c r="D2" s="103" t="s">
        <v>34</v>
      </c>
      <c r="E2" s="197" t="s">
        <v>35</v>
      </c>
      <c r="F2" s="404"/>
      <c r="G2" s="405"/>
      <c r="H2" s="389"/>
      <c r="I2" s="87"/>
      <c r="J2"/>
    </row>
    <row r="3" spans="1:10" ht="18" x14ac:dyDescent="0.2">
      <c r="A3" s="390" t="s">
        <v>250</v>
      </c>
      <c r="B3" s="391"/>
      <c r="C3" s="392"/>
      <c r="D3" s="392"/>
      <c r="E3" s="392"/>
      <c r="F3" s="392"/>
      <c r="G3" s="392"/>
      <c r="H3" s="393"/>
      <c r="I3" s="87"/>
      <c r="J3"/>
    </row>
    <row r="4" spans="1:10" ht="13.5" customHeight="1" x14ac:dyDescent="0.2">
      <c r="A4" s="394" t="s">
        <v>579</v>
      </c>
      <c r="B4" s="394"/>
      <c r="C4" s="394"/>
      <c r="D4" s="394"/>
      <c r="E4" s="394"/>
      <c r="F4" s="394"/>
      <c r="G4" s="394"/>
      <c r="H4" s="394"/>
      <c r="I4" s="87"/>
      <c r="J4"/>
    </row>
    <row r="5" spans="1:10" ht="15" x14ac:dyDescent="0.2">
      <c r="A5" s="409" t="s">
        <v>252</v>
      </c>
      <c r="B5" s="410"/>
      <c r="C5" s="410"/>
      <c r="D5" s="410"/>
      <c r="E5" s="410"/>
      <c r="F5" s="410"/>
      <c r="G5" s="410"/>
      <c r="H5" s="410"/>
      <c r="I5" s="87"/>
      <c r="J5"/>
    </row>
    <row r="6" spans="1:10" s="84" customFormat="1" x14ac:dyDescent="0.2">
      <c r="A6" s="115" t="s">
        <v>263</v>
      </c>
      <c r="B6" s="24" t="s">
        <v>36</v>
      </c>
      <c r="C6" s="107" t="s">
        <v>552</v>
      </c>
      <c r="D6" s="116"/>
      <c r="E6" s="117"/>
      <c r="F6" s="24" t="s">
        <v>532</v>
      </c>
      <c r="G6" s="192" t="s">
        <v>335</v>
      </c>
      <c r="H6" s="61"/>
      <c r="I6" s="104"/>
    </row>
    <row r="7" spans="1:10" s="84" customFormat="1" ht="182.25" customHeight="1" x14ac:dyDescent="0.2">
      <c r="A7" s="198" t="s">
        <v>264</v>
      </c>
      <c r="B7" s="158" t="s">
        <v>36</v>
      </c>
      <c r="C7" s="49" t="s">
        <v>626</v>
      </c>
      <c r="D7" s="201" t="s">
        <v>165</v>
      </c>
      <c r="E7" s="199" t="s">
        <v>166</v>
      </c>
      <c r="F7" s="158" t="s">
        <v>646</v>
      </c>
      <c r="G7" s="192"/>
      <c r="H7" s="253"/>
      <c r="I7" s="88"/>
    </row>
    <row r="8" spans="1:10" s="84" customFormat="1" ht="33.75" customHeight="1" x14ac:dyDescent="0.2">
      <c r="A8" s="198" t="s">
        <v>265</v>
      </c>
      <c r="B8" s="125" t="s">
        <v>36</v>
      </c>
      <c r="C8" s="49" t="s">
        <v>206</v>
      </c>
      <c r="D8" s="201"/>
      <c r="E8" s="199"/>
      <c r="F8" s="158" t="s">
        <v>532</v>
      </c>
      <c r="G8" s="192"/>
      <c r="H8" s="254"/>
      <c r="I8" s="88"/>
    </row>
    <row r="9" spans="1:10" s="237" customFormat="1" ht="27.75" customHeight="1" x14ac:dyDescent="0.2">
      <c r="A9" s="115" t="s">
        <v>266</v>
      </c>
      <c r="B9" s="125" t="s">
        <v>36</v>
      </c>
      <c r="C9" s="49" t="s">
        <v>420</v>
      </c>
      <c r="D9" s="201"/>
      <c r="E9" s="199"/>
      <c r="F9" s="158" t="s">
        <v>532</v>
      </c>
      <c r="G9" s="192"/>
      <c r="H9" s="254"/>
      <c r="I9" s="238"/>
    </row>
    <row r="10" spans="1:10" ht="66" customHeight="1" x14ac:dyDescent="0.2">
      <c r="A10" s="198" t="s">
        <v>267</v>
      </c>
      <c r="B10" s="125" t="s">
        <v>36</v>
      </c>
      <c r="C10" s="49" t="s">
        <v>662</v>
      </c>
      <c r="D10" s="201"/>
      <c r="E10" s="199"/>
      <c r="F10" s="158" t="s">
        <v>541</v>
      </c>
      <c r="G10" s="192"/>
      <c r="H10" s="253"/>
      <c r="I10" s="84"/>
      <c r="J10"/>
    </row>
    <row r="11" spans="1:10" s="53" customFormat="1" ht="50.25" customHeight="1" x14ac:dyDescent="0.2">
      <c r="A11" s="198" t="s">
        <v>268</v>
      </c>
      <c r="B11" s="108" t="s">
        <v>36</v>
      </c>
      <c r="C11" s="49" t="s">
        <v>200</v>
      </c>
      <c r="D11" s="201" t="s">
        <v>165</v>
      </c>
      <c r="E11" s="199" t="s">
        <v>168</v>
      </c>
      <c r="F11" s="158" t="s">
        <v>542</v>
      </c>
      <c r="G11" s="192"/>
      <c r="H11" s="253"/>
      <c r="I11" s="105"/>
    </row>
    <row r="12" spans="1:10" s="53" customFormat="1" ht="43.5" customHeight="1" x14ac:dyDescent="0.2">
      <c r="A12" s="115" t="s">
        <v>269</v>
      </c>
      <c r="B12" s="108" t="s">
        <v>36</v>
      </c>
      <c r="C12" s="364" t="s">
        <v>184</v>
      </c>
      <c r="D12" s="201"/>
      <c r="E12" s="199"/>
      <c r="F12" s="158" t="s">
        <v>654</v>
      </c>
      <c r="G12" s="192"/>
      <c r="H12" s="253"/>
      <c r="I12" s="84"/>
    </row>
    <row r="13" spans="1:10" ht="15" x14ac:dyDescent="0.2">
      <c r="A13" s="411" t="s">
        <v>251</v>
      </c>
      <c r="B13" s="412"/>
      <c r="C13" s="412"/>
      <c r="D13" s="412"/>
      <c r="E13" s="412"/>
      <c r="F13" s="412"/>
      <c r="G13" s="412"/>
      <c r="H13" s="412"/>
      <c r="I13" s="87"/>
      <c r="J13"/>
    </row>
    <row r="14" spans="1:10" s="132" customFormat="1" ht="140.25" x14ac:dyDescent="0.2">
      <c r="A14" s="130" t="s">
        <v>270</v>
      </c>
      <c r="B14" s="108" t="s">
        <v>36</v>
      </c>
      <c r="C14" s="342" t="s">
        <v>530</v>
      </c>
      <c r="D14" s="201"/>
      <c r="E14" s="224"/>
      <c r="F14" s="305" t="s">
        <v>457</v>
      </c>
      <c r="G14" s="226"/>
      <c r="H14" s="225"/>
    </row>
    <row r="15" spans="1:10" s="133" customFormat="1" ht="24" x14ac:dyDescent="0.2">
      <c r="A15" s="374" t="s">
        <v>271</v>
      </c>
      <c r="B15" s="108" t="s">
        <v>36</v>
      </c>
      <c r="C15" s="107" t="s">
        <v>493</v>
      </c>
      <c r="D15" s="129"/>
      <c r="E15" s="111"/>
      <c r="F15" s="24" t="s">
        <v>362</v>
      </c>
      <c r="G15" s="191"/>
      <c r="H15" s="166"/>
    </row>
    <row r="16" spans="1:10" s="132" customFormat="1" ht="60" x14ac:dyDescent="0.2">
      <c r="A16" s="374" t="s">
        <v>272</v>
      </c>
      <c r="B16" s="108" t="s">
        <v>36</v>
      </c>
      <c r="C16" s="336" t="s">
        <v>615</v>
      </c>
      <c r="D16" s="201"/>
      <c r="E16" s="111"/>
      <c r="F16" s="24" t="s">
        <v>540</v>
      </c>
      <c r="G16" s="191"/>
      <c r="H16" s="61"/>
      <c r="I16" s="240"/>
    </row>
    <row r="17" spans="1:10" s="132" customFormat="1" ht="108" x14ac:dyDescent="0.2">
      <c r="A17" s="374" t="s">
        <v>273</v>
      </c>
      <c r="B17" s="108" t="s">
        <v>36</v>
      </c>
      <c r="C17" s="343" t="s">
        <v>551</v>
      </c>
      <c r="D17" s="201"/>
      <c r="E17" s="111"/>
      <c r="F17" s="24" t="s">
        <v>464</v>
      </c>
      <c r="G17" s="191"/>
      <c r="H17" s="61"/>
      <c r="I17" s="240"/>
    </row>
    <row r="18" spans="1:10" s="132" customFormat="1" ht="60" x14ac:dyDescent="0.2">
      <c r="A18" s="374" t="s">
        <v>274</v>
      </c>
      <c r="B18" s="108" t="s">
        <v>36</v>
      </c>
      <c r="C18" s="108" t="s">
        <v>463</v>
      </c>
      <c r="D18" s="201" t="s">
        <v>165</v>
      </c>
      <c r="E18" s="111"/>
      <c r="F18" s="24" t="s">
        <v>464</v>
      </c>
      <c r="G18" s="191"/>
      <c r="H18" s="61"/>
      <c r="I18" s="240"/>
    </row>
    <row r="19" spans="1:10" s="105" customFormat="1" ht="15" x14ac:dyDescent="0.2">
      <c r="A19" s="395" t="s">
        <v>254</v>
      </c>
      <c r="B19" s="396"/>
      <c r="C19" s="396"/>
      <c r="D19" s="396"/>
      <c r="E19" s="396"/>
      <c r="F19" s="396"/>
      <c r="G19" s="396"/>
      <c r="H19" s="397"/>
      <c r="I19" s="88"/>
    </row>
    <row r="20" spans="1:10" s="175" customFormat="1" ht="252" x14ac:dyDescent="0.2">
      <c r="A20" s="121" t="s">
        <v>275</v>
      </c>
      <c r="B20" s="108" t="s">
        <v>392</v>
      </c>
      <c r="C20" s="173" t="s">
        <v>637</v>
      </c>
      <c r="D20" s="116"/>
      <c r="E20" s="131"/>
      <c r="F20" s="24" t="s">
        <v>543</v>
      </c>
      <c r="G20" s="191"/>
      <c r="H20" s="24" t="s">
        <v>422</v>
      </c>
      <c r="I20" s="174"/>
    </row>
    <row r="21" spans="1:10" s="51" customFormat="1" ht="26.25" thickBot="1" x14ac:dyDescent="0.25">
      <c r="A21" s="118" t="s">
        <v>276</v>
      </c>
      <c r="B21" s="142" t="s">
        <v>362</v>
      </c>
      <c r="C21" s="273" t="s">
        <v>659</v>
      </c>
      <c r="D21" s="126"/>
      <c r="E21" s="200"/>
      <c r="F21" s="159" t="s">
        <v>362</v>
      </c>
      <c r="G21" s="193"/>
      <c r="H21" s="255"/>
    </row>
    <row r="22" spans="1:10" s="133" customFormat="1" ht="15" x14ac:dyDescent="0.2">
      <c r="A22" s="406" t="s">
        <v>255</v>
      </c>
      <c r="B22" s="407"/>
      <c r="C22" s="407"/>
      <c r="D22" s="407"/>
      <c r="E22" s="407"/>
      <c r="F22" s="407"/>
      <c r="G22" s="407"/>
      <c r="H22" s="408"/>
      <c r="I22" s="105"/>
    </row>
    <row r="23" spans="1:10" s="105" customFormat="1" ht="24" x14ac:dyDescent="0.2">
      <c r="A23" s="130" t="s">
        <v>277</v>
      </c>
      <c r="B23" s="108" t="s">
        <v>36</v>
      </c>
      <c r="C23" s="110" t="s">
        <v>203</v>
      </c>
      <c r="D23" s="116"/>
      <c r="E23" s="122"/>
      <c r="F23" s="24" t="s">
        <v>532</v>
      </c>
      <c r="G23" s="191"/>
      <c r="H23" s="24" t="s">
        <v>398</v>
      </c>
      <c r="I23" s="88"/>
    </row>
    <row r="24" spans="1:10" s="136" customFormat="1" ht="24" x14ac:dyDescent="0.2">
      <c r="A24" s="374" t="s">
        <v>366</v>
      </c>
      <c r="B24" s="108" t="s">
        <v>36</v>
      </c>
      <c r="C24" s="120" t="s">
        <v>628</v>
      </c>
      <c r="D24" s="129"/>
      <c r="E24" s="111"/>
      <c r="F24" s="24" t="s">
        <v>532</v>
      </c>
      <c r="G24" s="191"/>
      <c r="H24" s="24"/>
      <c r="I24" s="88"/>
    </row>
    <row r="25" spans="1:10" s="175" customFormat="1" ht="96" x14ac:dyDescent="0.2">
      <c r="A25" s="374" t="s">
        <v>619</v>
      </c>
      <c r="B25" s="108" t="s">
        <v>36</v>
      </c>
      <c r="C25" s="173" t="s">
        <v>421</v>
      </c>
      <c r="D25" s="126"/>
      <c r="E25" s="124"/>
      <c r="F25" s="24" t="s">
        <v>534</v>
      </c>
      <c r="G25" s="191"/>
      <c r="H25" s="61"/>
      <c r="I25" s="174"/>
    </row>
    <row r="26" spans="1:10" ht="132" x14ac:dyDescent="0.2">
      <c r="A26" s="374" t="s">
        <v>514</v>
      </c>
      <c r="B26" s="108" t="s">
        <v>36</v>
      </c>
      <c r="C26" s="110" t="s">
        <v>640</v>
      </c>
      <c r="D26" s="116"/>
      <c r="E26" s="111"/>
      <c r="F26" s="370" t="s">
        <v>544</v>
      </c>
      <c r="G26" s="191"/>
      <c r="H26" s="370" t="s">
        <v>623</v>
      </c>
      <c r="I26" s="87"/>
      <c r="J26"/>
    </row>
    <row r="27" spans="1:10" s="105" customFormat="1" ht="15" x14ac:dyDescent="0.2">
      <c r="A27" s="395" t="s">
        <v>256</v>
      </c>
      <c r="B27" s="396"/>
      <c r="C27" s="396"/>
      <c r="D27" s="396"/>
      <c r="E27" s="396"/>
      <c r="F27" s="396"/>
      <c r="G27" s="396"/>
      <c r="H27" s="397"/>
      <c r="I27" s="88"/>
    </row>
    <row r="28" spans="1:10" s="175" customFormat="1" ht="96" x14ac:dyDescent="0.2">
      <c r="A28" s="121" t="s">
        <v>515</v>
      </c>
      <c r="B28" s="108" t="s">
        <v>36</v>
      </c>
      <c r="C28" s="110" t="s">
        <v>462</v>
      </c>
      <c r="D28" s="126"/>
      <c r="E28" s="111"/>
      <c r="F28" s="24" t="s">
        <v>532</v>
      </c>
      <c r="G28" s="191"/>
      <c r="H28" s="304" t="s">
        <v>461</v>
      </c>
      <c r="I28" s="174"/>
    </row>
    <row r="29" spans="1:10" s="132" customFormat="1" ht="59.45" customHeight="1" x14ac:dyDescent="0.2">
      <c r="A29" s="121" t="s">
        <v>367</v>
      </c>
      <c r="B29" s="125" t="s">
        <v>578</v>
      </c>
      <c r="C29" s="329" t="s">
        <v>556</v>
      </c>
      <c r="D29" s="116" t="s">
        <v>165</v>
      </c>
      <c r="E29" s="199" t="s">
        <v>169</v>
      </c>
      <c r="F29" s="24" t="s">
        <v>535</v>
      </c>
      <c r="G29" s="191"/>
      <c r="H29" s="158"/>
      <c r="I29" s="240"/>
    </row>
    <row r="30" spans="1:10" s="175" customFormat="1" ht="84" x14ac:dyDescent="0.2">
      <c r="A30" s="121" t="s">
        <v>516</v>
      </c>
      <c r="B30" s="108" t="s">
        <v>36</v>
      </c>
      <c r="C30" s="108" t="s">
        <v>635</v>
      </c>
      <c r="D30" s="116"/>
      <c r="E30" s="111"/>
      <c r="F30" s="24" t="s">
        <v>535</v>
      </c>
      <c r="G30" s="191"/>
      <c r="H30" s="61" t="s">
        <v>599</v>
      </c>
      <c r="I30" s="174"/>
    </row>
    <row r="31" spans="1:10" s="132" customFormat="1" ht="144" x14ac:dyDescent="0.2">
      <c r="A31" s="121" t="s">
        <v>517</v>
      </c>
      <c r="B31" s="108" t="s">
        <v>36</v>
      </c>
      <c r="C31" s="93" t="s">
        <v>433</v>
      </c>
      <c r="D31" s="129"/>
      <c r="E31" s="131"/>
      <c r="F31" s="24" t="s">
        <v>511</v>
      </c>
      <c r="G31" s="191"/>
      <c r="H31" s="61"/>
      <c r="I31" s="175"/>
    </row>
    <row r="32" spans="1:10" s="70" customFormat="1" ht="84" x14ac:dyDescent="0.2">
      <c r="A32" s="121" t="s">
        <v>518</v>
      </c>
      <c r="B32" s="235" t="s">
        <v>36</v>
      </c>
      <c r="C32" s="149" t="s">
        <v>418</v>
      </c>
      <c r="D32" s="129"/>
      <c r="E32" s="221"/>
      <c r="F32" s="24" t="s">
        <v>458</v>
      </c>
      <c r="G32" s="191"/>
      <c r="H32" s="256"/>
    </row>
    <row r="33" spans="1:10" s="70" customFormat="1" ht="192" x14ac:dyDescent="0.2">
      <c r="A33" s="121" t="s">
        <v>519</v>
      </c>
      <c r="B33" s="108" t="s">
        <v>362</v>
      </c>
      <c r="C33" s="380" t="s">
        <v>645</v>
      </c>
      <c r="D33" s="129"/>
      <c r="E33" s="131"/>
      <c r="F33" s="24" t="s">
        <v>644</v>
      </c>
      <c r="G33" s="191"/>
      <c r="H33" s="257"/>
      <c r="I33" s="223"/>
    </row>
    <row r="34" spans="1:10" s="105" customFormat="1" ht="15" x14ac:dyDescent="0.2">
      <c r="A34" s="395" t="s">
        <v>257</v>
      </c>
      <c r="B34" s="396"/>
      <c r="C34" s="396"/>
      <c r="D34" s="396"/>
      <c r="E34" s="396"/>
      <c r="F34" s="396"/>
      <c r="G34" s="396"/>
      <c r="H34" s="397"/>
      <c r="I34" s="88"/>
    </row>
    <row r="35" spans="1:10" s="136" customFormat="1" ht="48" x14ac:dyDescent="0.2">
      <c r="A35" s="156" t="s">
        <v>368</v>
      </c>
      <c r="B35" s="59" t="s">
        <v>545</v>
      </c>
      <c r="C35" s="120" t="s">
        <v>320</v>
      </c>
      <c r="D35" s="129"/>
      <c r="E35" s="157"/>
      <c r="F35" s="148" t="s">
        <v>538</v>
      </c>
      <c r="G35" s="194"/>
      <c r="H35" s="258"/>
      <c r="I35" s="176"/>
    </row>
    <row r="36" spans="1:10" s="136" customFormat="1" ht="108" x14ac:dyDescent="0.2">
      <c r="A36" s="156" t="s">
        <v>369</v>
      </c>
      <c r="B36" s="108" t="s">
        <v>36</v>
      </c>
      <c r="C36" s="120" t="s">
        <v>444</v>
      </c>
      <c r="D36" s="129"/>
      <c r="E36" s="157"/>
      <c r="F36" s="148" t="s">
        <v>538</v>
      </c>
      <c r="G36" s="194"/>
      <c r="H36" s="258"/>
      <c r="I36" s="177"/>
    </row>
    <row r="37" spans="1:10" ht="180" x14ac:dyDescent="0.2">
      <c r="A37" s="156" t="s">
        <v>278</v>
      </c>
      <c r="B37" s="108" t="s">
        <v>36</v>
      </c>
      <c r="C37" s="108" t="s">
        <v>201</v>
      </c>
      <c r="D37" s="116"/>
      <c r="E37" s="119"/>
      <c r="F37" s="24" t="s">
        <v>533</v>
      </c>
      <c r="G37" s="191"/>
      <c r="H37" s="24" t="s">
        <v>220</v>
      </c>
      <c r="I37" s="87"/>
      <c r="J37"/>
    </row>
    <row r="38" spans="1:10" s="70" customFormat="1" ht="36" x14ac:dyDescent="0.2">
      <c r="A38" s="156" t="s">
        <v>279</v>
      </c>
      <c r="B38" s="108" t="s">
        <v>36</v>
      </c>
      <c r="C38" s="241" t="s">
        <v>412</v>
      </c>
      <c r="D38" s="116"/>
      <c r="E38" s="119"/>
      <c r="F38" s="24" t="s">
        <v>598</v>
      </c>
      <c r="G38" s="191"/>
      <c r="H38" s="24"/>
      <c r="I38" s="223"/>
    </row>
    <row r="39" spans="1:10" s="105" customFormat="1" ht="15" x14ac:dyDescent="0.2">
      <c r="A39" s="395" t="s">
        <v>258</v>
      </c>
      <c r="B39" s="396"/>
      <c r="C39" s="396"/>
      <c r="D39" s="396"/>
      <c r="E39" s="396"/>
      <c r="F39" s="396"/>
      <c r="G39" s="396"/>
      <c r="H39" s="397"/>
      <c r="I39" s="88"/>
    </row>
    <row r="40" spans="1:10" s="136" customFormat="1" ht="36" x14ac:dyDescent="0.2">
      <c r="A40" s="178" t="s">
        <v>280</v>
      </c>
      <c r="B40" s="120" t="s">
        <v>36</v>
      </c>
      <c r="C40" s="179" t="s">
        <v>155</v>
      </c>
      <c r="D40" s="116" t="s">
        <v>165</v>
      </c>
      <c r="E40" s="180">
        <v>2.4</v>
      </c>
      <c r="F40" s="148" t="s">
        <v>531</v>
      </c>
      <c r="G40" s="194"/>
      <c r="H40" s="148"/>
      <c r="I40" s="177"/>
    </row>
    <row r="41" spans="1:10" s="175" customFormat="1" ht="113.25" customHeight="1" x14ac:dyDescent="0.2">
      <c r="A41" s="178" t="s">
        <v>520</v>
      </c>
      <c r="B41" s="108" t="s">
        <v>36</v>
      </c>
      <c r="C41" s="108" t="s">
        <v>414</v>
      </c>
      <c r="D41" s="116"/>
      <c r="E41" s="131"/>
      <c r="F41" s="148" t="s">
        <v>531</v>
      </c>
      <c r="G41" s="191"/>
      <c r="H41" s="24" t="s">
        <v>319</v>
      </c>
      <c r="I41" s="174"/>
    </row>
    <row r="42" spans="1:10" s="133" customFormat="1" ht="96" x14ac:dyDescent="0.2">
      <c r="A42" s="178" t="s">
        <v>281</v>
      </c>
      <c r="B42" s="108" t="s">
        <v>36</v>
      </c>
      <c r="C42" s="120" t="s">
        <v>390</v>
      </c>
      <c r="D42" s="116"/>
      <c r="E42" s="127"/>
      <c r="F42" s="148" t="s">
        <v>531</v>
      </c>
      <c r="G42" s="191"/>
      <c r="H42" s="61"/>
      <c r="I42" s="106"/>
    </row>
    <row r="43" spans="1:10" s="181" customFormat="1" ht="48" x14ac:dyDescent="0.2">
      <c r="A43" s="178" t="s">
        <v>282</v>
      </c>
      <c r="B43" s="120" t="s">
        <v>36</v>
      </c>
      <c r="C43" s="179" t="s">
        <v>170</v>
      </c>
      <c r="D43" s="116" t="s">
        <v>165</v>
      </c>
      <c r="E43" s="157" t="s">
        <v>119</v>
      </c>
      <c r="F43" s="148" t="s">
        <v>532</v>
      </c>
      <c r="G43" s="191"/>
      <c r="H43" s="258" t="s">
        <v>512</v>
      </c>
      <c r="I43" s="136"/>
    </row>
    <row r="44" spans="1:10" ht="36" x14ac:dyDescent="0.2">
      <c r="A44" s="178" t="s">
        <v>283</v>
      </c>
      <c r="B44" s="108" t="s">
        <v>36</v>
      </c>
      <c r="C44" s="107" t="s">
        <v>586</v>
      </c>
      <c r="D44" s="116" t="s">
        <v>165</v>
      </c>
      <c r="E44" s="128" t="s">
        <v>119</v>
      </c>
      <c r="F44" s="148" t="s">
        <v>531</v>
      </c>
      <c r="G44" s="191"/>
      <c r="H44" s="24"/>
      <c r="I44" s="87"/>
      <c r="J44"/>
    </row>
    <row r="45" spans="1:10" s="133" customFormat="1" ht="15" x14ac:dyDescent="0.2">
      <c r="A45" s="395" t="s">
        <v>532</v>
      </c>
      <c r="B45" s="396"/>
      <c r="C45" s="396"/>
      <c r="D45" s="396"/>
      <c r="E45" s="396"/>
      <c r="F45" s="396"/>
      <c r="G45" s="396"/>
      <c r="H45" s="397"/>
      <c r="I45" s="105"/>
    </row>
    <row r="46" spans="1:10" s="181" customFormat="1" ht="409.5" x14ac:dyDescent="0.2">
      <c r="A46" s="156" t="s">
        <v>284</v>
      </c>
      <c r="B46" s="120" t="s">
        <v>36</v>
      </c>
      <c r="C46" s="338" t="s">
        <v>411</v>
      </c>
      <c r="D46" s="339" t="s">
        <v>505</v>
      </c>
      <c r="E46" s="157"/>
      <c r="F46" s="24" t="s">
        <v>532</v>
      </c>
      <c r="G46" s="194"/>
      <c r="H46" s="258"/>
    </row>
    <row r="47" spans="1:10" s="133" customFormat="1" ht="72" x14ac:dyDescent="0.2">
      <c r="A47" s="156" t="s">
        <v>285</v>
      </c>
      <c r="B47" s="108" t="s">
        <v>36</v>
      </c>
      <c r="C47" s="107" t="s">
        <v>259</v>
      </c>
      <c r="D47" s="129"/>
      <c r="E47" s="111"/>
      <c r="F47" s="24" t="s">
        <v>534</v>
      </c>
      <c r="G47" s="191"/>
      <c r="H47" s="24"/>
    </row>
    <row r="48" spans="1:10" s="132" customFormat="1" ht="12" x14ac:dyDescent="0.2">
      <c r="A48" s="156" t="s">
        <v>286</v>
      </c>
      <c r="B48" s="108" t="s">
        <v>36</v>
      </c>
      <c r="C48" s="108" t="s">
        <v>434</v>
      </c>
      <c r="D48" s="340" t="s">
        <v>506</v>
      </c>
      <c r="E48" s="131"/>
      <c r="F48" s="24" t="s">
        <v>534</v>
      </c>
      <c r="G48" s="191"/>
      <c r="H48" s="24"/>
    </row>
    <row r="49" spans="1:10" s="132" customFormat="1" ht="36" x14ac:dyDescent="0.2">
      <c r="A49" s="156" t="s">
        <v>521</v>
      </c>
      <c r="B49" s="108" t="s">
        <v>36</v>
      </c>
      <c r="C49" s="108" t="s">
        <v>410</v>
      </c>
      <c r="D49" s="341" t="s">
        <v>507</v>
      </c>
      <c r="E49" s="131"/>
      <c r="F49" s="24" t="s">
        <v>534</v>
      </c>
      <c r="G49" s="191"/>
      <c r="H49" s="24"/>
    </row>
    <row r="50" spans="1:10" s="133" customFormat="1" ht="36" x14ac:dyDescent="0.2">
      <c r="A50" s="156" t="s">
        <v>287</v>
      </c>
      <c r="B50" s="108" t="s">
        <v>36</v>
      </c>
      <c r="C50" s="107" t="s">
        <v>181</v>
      </c>
      <c r="D50" s="129"/>
      <c r="E50" s="119"/>
      <c r="F50" s="24" t="s">
        <v>534</v>
      </c>
      <c r="G50" s="191"/>
      <c r="H50" s="24"/>
      <c r="I50" s="105"/>
    </row>
    <row r="51" spans="1:10" s="133" customFormat="1" ht="36" x14ac:dyDescent="0.2">
      <c r="A51" s="156" t="s">
        <v>288</v>
      </c>
      <c r="B51" s="108" t="s">
        <v>36</v>
      </c>
      <c r="C51" s="110" t="s">
        <v>508</v>
      </c>
      <c r="D51" s="129"/>
      <c r="E51" s="122"/>
      <c r="F51" s="24" t="s">
        <v>537</v>
      </c>
      <c r="G51" s="191"/>
      <c r="H51" s="24"/>
      <c r="I51" s="88"/>
    </row>
    <row r="52" spans="1:10" s="181" customFormat="1" ht="132" x14ac:dyDescent="0.2">
      <c r="A52" s="156" t="s">
        <v>289</v>
      </c>
      <c r="B52" s="120" t="s">
        <v>545</v>
      </c>
      <c r="C52" s="120" t="s">
        <v>409</v>
      </c>
      <c r="D52" s="129"/>
      <c r="E52" s="182"/>
      <c r="F52" s="148" t="s">
        <v>538</v>
      </c>
      <c r="G52" s="194"/>
      <c r="H52" s="259"/>
    </row>
    <row r="53" spans="1:10" s="132" customFormat="1" ht="62.45" customHeight="1" x14ac:dyDescent="0.2">
      <c r="A53" s="156" t="s">
        <v>290</v>
      </c>
      <c r="B53" s="108" t="s">
        <v>36</v>
      </c>
      <c r="C53" s="107" t="s">
        <v>587</v>
      </c>
      <c r="D53" s="129"/>
      <c r="E53" s="111"/>
      <c r="F53" s="148" t="s">
        <v>546</v>
      </c>
      <c r="G53" s="191"/>
      <c r="H53" s="61"/>
      <c r="I53" s="133"/>
    </row>
    <row r="54" spans="1:10" s="181" customFormat="1" ht="192" x14ac:dyDescent="0.2">
      <c r="A54" s="156" t="s">
        <v>291</v>
      </c>
      <c r="B54" s="120" t="s">
        <v>36</v>
      </c>
      <c r="C54" s="120" t="s">
        <v>663</v>
      </c>
      <c r="D54" s="129"/>
      <c r="E54" s="157"/>
      <c r="F54" s="148" t="s">
        <v>547</v>
      </c>
      <c r="G54" s="194"/>
      <c r="H54" s="258" t="s">
        <v>260</v>
      </c>
    </row>
    <row r="55" spans="1:10" s="132" customFormat="1" ht="36" x14ac:dyDescent="0.2">
      <c r="A55" s="156" t="s">
        <v>522</v>
      </c>
      <c r="B55" s="108" t="s">
        <v>36</v>
      </c>
      <c r="C55" s="108" t="s">
        <v>218</v>
      </c>
      <c r="D55" s="129"/>
      <c r="E55" s="111"/>
      <c r="F55" s="148" t="s">
        <v>548</v>
      </c>
      <c r="G55" s="191"/>
      <c r="H55" s="61" t="s">
        <v>261</v>
      </c>
      <c r="I55" s="133"/>
    </row>
    <row r="56" spans="1:10" s="133" customFormat="1" ht="48" x14ac:dyDescent="0.2">
      <c r="A56" s="156" t="s">
        <v>292</v>
      </c>
      <c r="B56" s="108" t="s">
        <v>36</v>
      </c>
      <c r="C56" s="108" t="s">
        <v>219</v>
      </c>
      <c r="D56" s="129"/>
      <c r="E56" s="111"/>
      <c r="F56" s="148" t="s">
        <v>549</v>
      </c>
      <c r="G56" s="191"/>
      <c r="H56" s="61"/>
      <c r="I56" s="134"/>
    </row>
    <row r="57" spans="1:10" s="181" customFormat="1" ht="130.5" customHeight="1" x14ac:dyDescent="0.2">
      <c r="A57" s="156" t="s">
        <v>293</v>
      </c>
      <c r="B57" s="120" t="s">
        <v>36</v>
      </c>
      <c r="C57" s="120" t="s">
        <v>550</v>
      </c>
      <c r="D57" s="129"/>
      <c r="E57" s="127"/>
      <c r="F57" s="148" t="s">
        <v>539</v>
      </c>
      <c r="G57" s="194"/>
      <c r="H57" s="260"/>
      <c r="I57" s="183"/>
    </row>
    <row r="58" spans="1:10" s="132" customFormat="1" ht="71.45" customHeight="1" x14ac:dyDescent="0.2">
      <c r="A58" s="156" t="s">
        <v>294</v>
      </c>
      <c r="B58" s="108" t="s">
        <v>36</v>
      </c>
      <c r="C58" s="108" t="s">
        <v>407</v>
      </c>
      <c r="D58" s="131"/>
      <c r="E58" s="111"/>
      <c r="F58" s="24" t="s">
        <v>534</v>
      </c>
      <c r="G58" s="191"/>
      <c r="H58" s="24"/>
      <c r="I58" s="240"/>
    </row>
    <row r="59" spans="1:10" ht="262.5" customHeight="1" x14ac:dyDescent="0.2">
      <c r="A59" s="156" t="s">
        <v>370</v>
      </c>
      <c r="B59" s="108" t="s">
        <v>36</v>
      </c>
      <c r="C59" s="36" t="s">
        <v>525</v>
      </c>
      <c r="D59" s="220"/>
      <c r="E59" s="128"/>
      <c r="F59" s="24" t="s">
        <v>534</v>
      </c>
      <c r="G59" s="191"/>
      <c r="H59" s="61" t="s">
        <v>205</v>
      </c>
      <c r="I59" s="87"/>
      <c r="J59"/>
    </row>
    <row r="60" spans="1:10" s="70" customFormat="1" ht="108.75" thickBot="1" x14ac:dyDescent="0.25">
      <c r="A60" s="156" t="s">
        <v>295</v>
      </c>
      <c r="B60" s="108" t="s">
        <v>36</v>
      </c>
      <c r="C60" s="36" t="s">
        <v>413</v>
      </c>
      <c r="D60" s="220"/>
      <c r="E60" s="122"/>
      <c r="F60" s="24" t="s">
        <v>653</v>
      </c>
      <c r="G60" s="191"/>
      <c r="H60" s="61"/>
      <c r="I60" s="51"/>
    </row>
    <row r="61" spans="1:10" s="70" customFormat="1" ht="20.25" customHeight="1" thickBot="1" x14ac:dyDescent="0.25">
      <c r="A61" s="156" t="s">
        <v>296</v>
      </c>
      <c r="B61" s="290" t="s">
        <v>36</v>
      </c>
      <c r="C61" s="25" t="s">
        <v>442</v>
      </c>
      <c r="D61" s="129"/>
      <c r="E61" s="122"/>
      <c r="F61" s="24" t="s">
        <v>534</v>
      </c>
      <c r="G61" s="291"/>
      <c r="H61" s="292"/>
      <c r="I61" s="51"/>
    </row>
    <row r="62" spans="1:10" s="70" customFormat="1" ht="20.25" customHeight="1" x14ac:dyDescent="0.2">
      <c r="A62" s="156" t="s">
        <v>297</v>
      </c>
      <c r="B62" s="120" t="s">
        <v>36</v>
      </c>
      <c r="C62" s="179" t="s">
        <v>627</v>
      </c>
      <c r="D62" s="116"/>
      <c r="E62" s="117"/>
      <c r="F62" s="377" t="s">
        <v>650</v>
      </c>
      <c r="G62" s="191"/>
      <c r="H62" s="13"/>
      <c r="I62" s="51"/>
    </row>
    <row r="63" spans="1:10" s="132" customFormat="1" ht="15" x14ac:dyDescent="0.2">
      <c r="A63" s="395" t="s">
        <v>247</v>
      </c>
      <c r="B63" s="396"/>
      <c r="C63" s="396"/>
      <c r="D63" s="396"/>
      <c r="E63" s="396"/>
      <c r="F63" s="396"/>
      <c r="G63" s="396"/>
      <c r="H63" s="397"/>
      <c r="I63" s="133"/>
    </row>
    <row r="64" spans="1:10" s="132" customFormat="1" ht="24" x14ac:dyDescent="0.2">
      <c r="A64" s="115" t="s">
        <v>298</v>
      </c>
      <c r="B64" s="108" t="s">
        <v>36</v>
      </c>
      <c r="C64" s="112" t="s">
        <v>159</v>
      </c>
      <c r="D64" s="129" t="s">
        <v>509</v>
      </c>
      <c r="E64" s="111"/>
      <c r="F64" s="24" t="s">
        <v>36</v>
      </c>
      <c r="G64" s="191"/>
      <c r="H64" s="107"/>
      <c r="I64" s="133"/>
    </row>
    <row r="65" spans="1:10" x14ac:dyDescent="0.2">
      <c r="A65" s="115" t="s">
        <v>299</v>
      </c>
      <c r="B65" s="108" t="s">
        <v>36</v>
      </c>
      <c r="C65" s="107" t="s">
        <v>189</v>
      </c>
      <c r="D65" s="129"/>
      <c r="E65" s="111"/>
      <c r="F65" s="24" t="s">
        <v>532</v>
      </c>
      <c r="G65" s="191"/>
      <c r="H65" s="107"/>
      <c r="I65" s="87"/>
      <c r="J65"/>
    </row>
    <row r="66" spans="1:10" s="133" customFormat="1" ht="15" x14ac:dyDescent="0.2">
      <c r="A66" s="395" t="s">
        <v>248</v>
      </c>
      <c r="B66" s="396"/>
      <c r="C66" s="396"/>
      <c r="D66" s="396"/>
      <c r="E66" s="396"/>
      <c r="F66" s="396"/>
      <c r="G66" s="396"/>
      <c r="H66" s="397"/>
    </row>
    <row r="67" spans="1:10" s="133" customFormat="1" ht="96" x14ac:dyDescent="0.2">
      <c r="A67" s="130" t="s">
        <v>523</v>
      </c>
      <c r="B67" s="108" t="s">
        <v>36</v>
      </c>
      <c r="C67" s="113" t="s">
        <v>114</v>
      </c>
      <c r="D67" s="129"/>
      <c r="E67" s="111"/>
      <c r="F67" s="24" t="s">
        <v>532</v>
      </c>
      <c r="G67" s="191"/>
      <c r="H67" s="166" t="s">
        <v>188</v>
      </c>
    </row>
    <row r="68" spans="1:10" s="133" customFormat="1" ht="36" x14ac:dyDescent="0.2">
      <c r="A68" s="130" t="s">
        <v>300</v>
      </c>
      <c r="B68" s="108" t="s">
        <v>36</v>
      </c>
      <c r="C68" s="108" t="s">
        <v>478</v>
      </c>
      <c r="D68" s="129" t="s">
        <v>510</v>
      </c>
      <c r="E68" s="111"/>
      <c r="F68" s="24" t="s">
        <v>532</v>
      </c>
      <c r="G68" s="191"/>
      <c r="H68" s="13"/>
    </row>
    <row r="69" spans="1:10" s="133" customFormat="1" ht="72" x14ac:dyDescent="0.2">
      <c r="A69" s="130" t="s">
        <v>301</v>
      </c>
      <c r="B69" s="108" t="s">
        <v>36</v>
      </c>
      <c r="C69" s="112" t="s">
        <v>624</v>
      </c>
      <c r="D69" s="129" t="s">
        <v>510</v>
      </c>
      <c r="E69" s="111"/>
      <c r="F69" s="24" t="s">
        <v>532</v>
      </c>
      <c r="G69" s="191"/>
      <c r="H69" s="61"/>
    </row>
    <row r="70" spans="1:10" s="133" customFormat="1" ht="15" x14ac:dyDescent="0.2">
      <c r="A70" s="395" t="s">
        <v>262</v>
      </c>
      <c r="B70" s="396"/>
      <c r="C70" s="396"/>
      <c r="D70" s="396"/>
      <c r="E70" s="396"/>
      <c r="F70" s="396"/>
      <c r="G70" s="396"/>
      <c r="H70" s="397"/>
    </row>
    <row r="71" spans="1:10" x14ac:dyDescent="0.2">
      <c r="A71" s="115" t="s">
        <v>524</v>
      </c>
      <c r="B71" s="108" t="s">
        <v>36</v>
      </c>
      <c r="C71" s="114" t="s">
        <v>249</v>
      </c>
      <c r="D71" s="129"/>
      <c r="E71" s="111"/>
      <c r="F71" s="108"/>
      <c r="G71" s="195"/>
      <c r="H71" s="117"/>
    </row>
    <row r="72" spans="1:10" x14ac:dyDescent="0.2">
      <c r="A72" s="143"/>
    </row>
    <row r="74" spans="1:10" ht="18.75" x14ac:dyDescent="0.3">
      <c r="F74" s="271">
        <f>(COUNTIF(G6:G71,"&gt;41079"))</f>
        <v>0</v>
      </c>
      <c r="G74" s="227" t="e">
        <f>(COUNTIF(G6:G71,"&gt;41079")/F77)</f>
        <v>#DIV/0!</v>
      </c>
      <c r="H74" s="160" t="s">
        <v>403</v>
      </c>
    </row>
    <row r="75" spans="1:10" ht="18.75" x14ac:dyDescent="0.3">
      <c r="F75" s="271">
        <f>(COUNTIF(G6:G12,"*In Progress*")+COUNTIF(G14:G16,"*In Progress*")+COUNTIF(G20:G21,"*In Progress*")+COUNTIF(G23:G26,"*In Progress*")+COUNTIF(G28:G33,"*In Progress*")+COUNTIF(G35:G38,"*In Progress*")+COUNTIF(G40:G44,"*In Progress*")+COUNTIF(G46:G60,"*In Progress*")+COUNTIF(G64:G65,"*In Progress*")+COUNTIF(G67:G69,"*In Progress*"))</f>
        <v>0</v>
      </c>
      <c r="G75" s="227" t="e">
        <f>(COUNTIF(G6:G12,"*In Progress*")+COUNTIF(G14:G16,"*In Progress*")+COUNTIF(G20:G21,"*In Progress*")+COUNTIF(G23:G26,"*In Progress*")+COUNTIF(G28:G33,"*In Progress*")+COUNTIF(G35:G38,"*In Progress*")+COUNTIF(G40:G44,"*In Progress*")+COUNTIF(G46:G60,"*In Progress*")+COUNTIF(G64:G65,"*In Progress*")+COUNTIF(G67:G69,"*In Progress*"))/F77</f>
        <v>#DIV/0!</v>
      </c>
      <c r="H75" s="161" t="s">
        <v>404</v>
      </c>
    </row>
    <row r="76" spans="1:10" ht="18.75" x14ac:dyDescent="0.3">
      <c r="F76" s="272"/>
      <c r="G76" s="227"/>
      <c r="H76" s="162"/>
    </row>
    <row r="77" spans="1:10" ht="18.75" x14ac:dyDescent="0.3">
      <c r="F77" s="271">
        <f>F74+F75</f>
        <v>0</v>
      </c>
      <c r="G77" s="227" t="e">
        <f>G74+G75</f>
        <v>#DIV/0!</v>
      </c>
      <c r="H77" s="162"/>
    </row>
  </sheetData>
  <mergeCells count="20">
    <mergeCell ref="A3:H3"/>
    <mergeCell ref="A4:H4"/>
    <mergeCell ref="A5:H5"/>
    <mergeCell ref="A13:H13"/>
    <mergeCell ref="H1:H2"/>
    <mergeCell ref="A1:A2"/>
    <mergeCell ref="B1:B2"/>
    <mergeCell ref="C1:C2"/>
    <mergeCell ref="D1:E1"/>
    <mergeCell ref="F1:F2"/>
    <mergeCell ref="G1:G2"/>
    <mergeCell ref="A45:H45"/>
    <mergeCell ref="A63:H63"/>
    <mergeCell ref="A66:H66"/>
    <mergeCell ref="A70:H70"/>
    <mergeCell ref="A19:H19"/>
    <mergeCell ref="A22:H22"/>
    <mergeCell ref="A27:H27"/>
    <mergeCell ref="A34:H34"/>
    <mergeCell ref="A39:H39"/>
  </mergeCells>
  <conditionalFormatting sqref="G40:G44 G64:G65 G35:G37 G14:G16 G20:G21 G28:G33 G46:G61 G67:G69 G6:G9 G23:G26">
    <cfRule type="containsText" dxfId="73" priority="62" operator="containsText" text="*In Progress*">
      <formula>NOT(ISERROR(SEARCH("*In Progress*",G6)))</formula>
    </cfRule>
  </conditionalFormatting>
  <conditionalFormatting sqref="G38">
    <cfRule type="containsText" dxfId="72" priority="60" operator="containsText" text="*In Progress*">
      <formula>NOT(ISERROR(SEARCH("*In Progress*",G38)))</formula>
    </cfRule>
  </conditionalFormatting>
  <conditionalFormatting sqref="G10">
    <cfRule type="containsText" dxfId="71" priority="52" operator="containsText" text="*In Progress*">
      <formula>NOT(ISERROR(SEARCH("*In Progress*",G10)))</formula>
    </cfRule>
  </conditionalFormatting>
  <conditionalFormatting sqref="G11">
    <cfRule type="containsText" dxfId="70" priority="46" operator="containsText" text="*In Progress*">
      <formula>NOT(ISERROR(SEARCH("*In Progress*",G11)))</formula>
    </cfRule>
  </conditionalFormatting>
  <conditionalFormatting sqref="G12">
    <cfRule type="containsText" dxfId="69" priority="44" operator="containsText" text="*In Progress*">
      <formula>NOT(ISERROR(SEARCH("*In Progress*",G12)))</formula>
    </cfRule>
  </conditionalFormatting>
  <conditionalFormatting sqref="G63:G1048576 G1:G16 G19:G61">
    <cfRule type="cellIs" dxfId="68" priority="13" operator="between">
      <formula>40179</formula>
      <formula>46022</formula>
    </cfRule>
  </conditionalFormatting>
  <conditionalFormatting sqref="G18">
    <cfRule type="containsText" dxfId="67" priority="8" operator="containsText" text="*In Progress*">
      <formula>NOT(ISERROR(SEARCH("*In Progress*",G18)))</formula>
    </cfRule>
  </conditionalFormatting>
  <conditionalFormatting sqref="G18">
    <cfRule type="cellIs" dxfId="66" priority="7" operator="between">
      <formula>40179</formula>
      <formula>46022</formula>
    </cfRule>
  </conditionalFormatting>
  <conditionalFormatting sqref="G17">
    <cfRule type="containsText" dxfId="65" priority="6" operator="containsText" text="*In Progress*">
      <formula>NOT(ISERROR(SEARCH("*In Progress*",G17)))</formula>
    </cfRule>
  </conditionalFormatting>
  <conditionalFormatting sqref="G17">
    <cfRule type="cellIs" dxfId="64" priority="5" operator="between">
      <formula>40179</formula>
      <formula>46022</formula>
    </cfRule>
  </conditionalFormatting>
  <conditionalFormatting sqref="G62">
    <cfRule type="containsText" dxfId="63" priority="2" operator="containsText" text="*In Progress*">
      <formula>NOT(ISERROR(SEARCH("*In Progress*",G62)))</formula>
    </cfRule>
  </conditionalFormatting>
  <conditionalFormatting sqref="G62">
    <cfRule type="cellIs" dxfId="62" priority="1" operator="between">
      <formula>40179</formula>
      <formula>46022</formula>
    </cfRule>
  </conditionalFormatting>
  <printOptions horizontalCentered="1"/>
  <pageMargins left="0.75" right="0.75" top="1" bottom="1" header="0.5" footer="0.5"/>
  <pageSetup scale="58" fitToHeight="0" orientation="landscape" horizontalDpi="300" verticalDpi="300" r:id="rId1"/>
  <headerFooter alignWithMargins="0">
    <oddHeader>&amp;C&amp;F
Co-Location Preparation</oddHeader>
    <oddFooter>&amp;LCo-Location Preparation Activities&amp;C&amp;D&amp;RPage &amp;P of &amp;N Pages</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J39"/>
  <sheetViews>
    <sheetView tabSelected="1" zoomScale="80" zoomScaleNormal="80" workbookViewId="0">
      <pane ySplit="4" topLeftCell="A17" activePane="bottomLeft" state="frozen"/>
      <selection pane="bottomLeft" activeCell="H26" sqref="H26"/>
    </sheetView>
  </sheetViews>
  <sheetFormatPr defaultRowHeight="12.75" x14ac:dyDescent="0.2"/>
  <cols>
    <col min="2" max="2" width="13.85546875" customWidth="1"/>
    <col min="3" max="3" width="49.85546875" customWidth="1"/>
    <col min="4" max="4" width="17" customWidth="1"/>
    <col min="5" max="5" width="17.7109375" customWidth="1"/>
    <col min="6" max="6" width="16.85546875" style="23" customWidth="1"/>
    <col min="7" max="7" width="15.7109375" style="196" customWidth="1"/>
    <col min="8" max="8" width="29" customWidth="1"/>
    <col min="9" max="9" width="28.5703125" style="23" customWidth="1"/>
    <col min="10" max="10" width="29.140625" style="34" customWidth="1"/>
  </cols>
  <sheetData>
    <row r="1" spans="1:10" x14ac:dyDescent="0.2">
      <c r="A1" s="398" t="s">
        <v>31</v>
      </c>
      <c r="B1" s="404" t="s">
        <v>558</v>
      </c>
      <c r="C1" s="401" t="s">
        <v>32</v>
      </c>
      <c r="D1" s="403" t="s">
        <v>33</v>
      </c>
      <c r="E1" s="403"/>
      <c r="F1" s="404" t="s">
        <v>160</v>
      </c>
      <c r="G1" s="405" t="s">
        <v>151</v>
      </c>
      <c r="H1" s="389" t="s">
        <v>161</v>
      </c>
      <c r="I1" s="87"/>
      <c r="J1"/>
    </row>
    <row r="2" spans="1:10" x14ac:dyDescent="0.2">
      <c r="A2" s="398"/>
      <c r="B2" s="404"/>
      <c r="C2" s="402"/>
      <c r="D2" s="103" t="s">
        <v>34</v>
      </c>
      <c r="E2" s="103" t="s">
        <v>35</v>
      </c>
      <c r="F2" s="404"/>
      <c r="G2" s="405"/>
      <c r="H2" s="389"/>
      <c r="I2" s="87"/>
      <c r="J2"/>
    </row>
    <row r="3" spans="1:10" ht="18" x14ac:dyDescent="0.2">
      <c r="A3" s="390" t="s">
        <v>580</v>
      </c>
      <c r="B3" s="445"/>
      <c r="C3" s="445"/>
      <c r="D3" s="445"/>
      <c r="E3" s="445"/>
      <c r="F3" s="445"/>
      <c r="G3" s="445"/>
      <c r="H3" s="446"/>
      <c r="I3" s="87"/>
      <c r="J3"/>
    </row>
    <row r="4" spans="1:10" x14ac:dyDescent="0.2">
      <c r="A4" s="394" t="s">
        <v>579</v>
      </c>
      <c r="B4" s="394"/>
      <c r="C4" s="394"/>
      <c r="D4" s="394"/>
      <c r="E4" s="394"/>
      <c r="F4" s="394"/>
      <c r="G4" s="394"/>
      <c r="H4" s="394"/>
      <c r="I4" s="87"/>
      <c r="J4"/>
    </row>
    <row r="5" spans="1:10" ht="15" x14ac:dyDescent="0.2">
      <c r="A5" s="409" t="s">
        <v>581</v>
      </c>
      <c r="B5" s="410"/>
      <c r="C5" s="410"/>
      <c r="D5" s="410"/>
      <c r="E5" s="410"/>
      <c r="F5" s="410"/>
      <c r="G5" s="410"/>
      <c r="H5" s="410"/>
      <c r="I5" s="87"/>
      <c r="J5"/>
    </row>
    <row r="6" spans="1:10" s="242" customFormat="1" ht="31.5" customHeight="1" x14ac:dyDescent="0.2">
      <c r="A6" s="121" t="s">
        <v>302</v>
      </c>
      <c r="B6" s="108" t="s">
        <v>553</v>
      </c>
      <c r="C6" s="108" t="s">
        <v>557</v>
      </c>
      <c r="D6" s="131"/>
      <c r="E6" s="131"/>
      <c r="F6" s="24" t="s">
        <v>658</v>
      </c>
      <c r="G6" s="191"/>
      <c r="H6" s="24" t="s">
        <v>582</v>
      </c>
      <c r="I6" s="276"/>
    </row>
    <row r="7" spans="1:10" s="242" customFormat="1" ht="18" customHeight="1" x14ac:dyDescent="0.2">
      <c r="A7" s="424" t="s">
        <v>303</v>
      </c>
      <c r="B7" s="426" t="s">
        <v>553</v>
      </c>
      <c r="C7" s="432" t="s">
        <v>494</v>
      </c>
      <c r="D7" s="447"/>
      <c r="E7" s="448"/>
      <c r="F7" s="422" t="s">
        <v>600</v>
      </c>
      <c r="G7" s="361" t="s">
        <v>616</v>
      </c>
      <c r="H7" s="363" t="s">
        <v>618</v>
      </c>
      <c r="I7" s="277"/>
    </row>
    <row r="8" spans="1:10" s="242" customFormat="1" x14ac:dyDescent="0.2">
      <c r="A8" s="425"/>
      <c r="B8" s="425"/>
      <c r="C8" s="428"/>
      <c r="D8" s="449"/>
      <c r="E8" s="450"/>
      <c r="F8" s="423"/>
      <c r="G8" s="362" t="s">
        <v>617</v>
      </c>
      <c r="H8" s="267" t="s">
        <v>617</v>
      </c>
      <c r="I8" s="243"/>
    </row>
    <row r="9" spans="1:10" s="70" customFormat="1" x14ac:dyDescent="0.2">
      <c r="A9" s="424" t="s">
        <v>304</v>
      </c>
      <c r="B9" s="426" t="s">
        <v>553</v>
      </c>
      <c r="C9" s="440" t="s">
        <v>555</v>
      </c>
      <c r="D9" s="442"/>
      <c r="E9" s="444"/>
      <c r="F9" s="422" t="s">
        <v>532</v>
      </c>
      <c r="G9" s="361" t="s">
        <v>616</v>
      </c>
      <c r="H9" s="363" t="s">
        <v>618</v>
      </c>
    </row>
    <row r="10" spans="1:10" s="70" customFormat="1" x14ac:dyDescent="0.2">
      <c r="A10" s="425"/>
      <c r="B10" s="425"/>
      <c r="C10" s="441"/>
      <c r="D10" s="443"/>
      <c r="E10" s="423"/>
      <c r="F10" s="423"/>
      <c r="G10" s="362" t="s">
        <v>617</v>
      </c>
      <c r="H10" s="267" t="s">
        <v>617</v>
      </c>
    </row>
    <row r="11" spans="1:10" s="279" customFormat="1" ht="94.5" customHeight="1" x14ac:dyDescent="0.2">
      <c r="A11" s="130" t="s">
        <v>305</v>
      </c>
      <c r="B11" s="108" t="s">
        <v>554</v>
      </c>
      <c r="C11" s="330" t="s">
        <v>583</v>
      </c>
      <c r="D11" s="131"/>
      <c r="E11" s="111"/>
      <c r="F11" s="24" t="s">
        <v>532</v>
      </c>
      <c r="G11" s="191"/>
      <c r="H11" s="256"/>
    </row>
    <row r="12" spans="1:10" s="279" customFormat="1" ht="39.75" customHeight="1" x14ac:dyDescent="0.2">
      <c r="A12" s="424" t="s">
        <v>306</v>
      </c>
      <c r="B12" s="426" t="s">
        <v>553</v>
      </c>
      <c r="C12" s="432" t="s">
        <v>621</v>
      </c>
      <c r="D12" s="429"/>
      <c r="E12" s="431"/>
      <c r="F12" s="422" t="s">
        <v>532</v>
      </c>
      <c r="G12" s="361" t="s">
        <v>616</v>
      </c>
      <c r="H12" s="363" t="s">
        <v>618</v>
      </c>
    </row>
    <row r="13" spans="1:10" s="279" customFormat="1" ht="12" customHeight="1" x14ac:dyDescent="0.2">
      <c r="A13" s="425"/>
      <c r="B13" s="425"/>
      <c r="C13" s="428"/>
      <c r="D13" s="430"/>
      <c r="E13" s="425"/>
      <c r="F13" s="423"/>
      <c r="G13" s="362" t="s">
        <v>617</v>
      </c>
      <c r="H13" s="267" t="s">
        <v>617</v>
      </c>
    </row>
    <row r="14" spans="1:10" s="279" customFormat="1" ht="39" customHeight="1" x14ac:dyDescent="0.2">
      <c r="A14" s="438" t="s">
        <v>307</v>
      </c>
      <c r="B14" s="426" t="s">
        <v>553</v>
      </c>
      <c r="C14" s="427" t="s">
        <v>622</v>
      </c>
      <c r="D14" s="429"/>
      <c r="E14" s="431"/>
      <c r="F14" s="439" t="s">
        <v>532</v>
      </c>
      <c r="G14" s="361" t="s">
        <v>616</v>
      </c>
      <c r="H14" s="363" t="s">
        <v>618</v>
      </c>
    </row>
    <row r="15" spans="1:10" s="279" customFormat="1" ht="12" customHeight="1" x14ac:dyDescent="0.2">
      <c r="A15" s="430"/>
      <c r="B15" s="425"/>
      <c r="C15" s="428"/>
      <c r="D15" s="430"/>
      <c r="E15" s="425"/>
      <c r="F15" s="423"/>
      <c r="G15" s="362" t="s">
        <v>617</v>
      </c>
      <c r="H15" s="267" t="s">
        <v>617</v>
      </c>
    </row>
    <row r="16" spans="1:10" s="279" customFormat="1" ht="66.75" customHeight="1" x14ac:dyDescent="0.2">
      <c r="A16" s="438" t="s">
        <v>308</v>
      </c>
      <c r="B16" s="426" t="s">
        <v>553</v>
      </c>
      <c r="C16" s="432" t="s">
        <v>495</v>
      </c>
      <c r="D16" s="429"/>
      <c r="E16" s="431"/>
      <c r="F16" s="422" t="s">
        <v>656</v>
      </c>
      <c r="G16" s="361" t="s">
        <v>616</v>
      </c>
      <c r="H16" s="24" t="s">
        <v>634</v>
      </c>
    </row>
    <row r="17" spans="1:9" s="279" customFormat="1" ht="15.75" customHeight="1" x14ac:dyDescent="0.2">
      <c r="A17" s="430"/>
      <c r="B17" s="425"/>
      <c r="C17" s="428"/>
      <c r="D17" s="430"/>
      <c r="E17" s="425"/>
      <c r="F17" s="423"/>
      <c r="G17" s="362" t="s">
        <v>617</v>
      </c>
      <c r="H17" s="24" t="s">
        <v>617</v>
      </c>
    </row>
    <row r="18" spans="1:9" s="242" customFormat="1" ht="38.25" customHeight="1" x14ac:dyDescent="0.2">
      <c r="A18" s="424" t="s">
        <v>309</v>
      </c>
      <c r="B18" s="426" t="s">
        <v>553</v>
      </c>
      <c r="C18" s="434" t="s">
        <v>436</v>
      </c>
      <c r="D18" s="429"/>
      <c r="E18" s="436"/>
      <c r="F18" s="422" t="s">
        <v>532</v>
      </c>
      <c r="G18" s="361" t="s">
        <v>616</v>
      </c>
      <c r="H18" s="363" t="s">
        <v>618</v>
      </c>
      <c r="I18" s="277"/>
    </row>
    <row r="19" spans="1:9" s="242" customFormat="1" ht="15" customHeight="1" x14ac:dyDescent="0.2">
      <c r="A19" s="425"/>
      <c r="B19" s="425"/>
      <c r="C19" s="435"/>
      <c r="D19" s="430"/>
      <c r="E19" s="437"/>
      <c r="F19" s="423"/>
      <c r="G19" s="362" t="s">
        <v>617</v>
      </c>
      <c r="H19" s="267" t="s">
        <v>617</v>
      </c>
      <c r="I19" s="277"/>
    </row>
    <row r="20" spans="1:9" s="242" customFormat="1" ht="99" customHeight="1" x14ac:dyDescent="0.2">
      <c r="A20" s="93" t="s">
        <v>310</v>
      </c>
      <c r="B20" s="108" t="s">
        <v>553</v>
      </c>
      <c r="C20" s="17" t="s">
        <v>636</v>
      </c>
      <c r="D20" s="131"/>
      <c r="E20" s="122"/>
      <c r="F20" s="24" t="s">
        <v>658</v>
      </c>
      <c r="G20" s="191"/>
      <c r="H20" s="256"/>
      <c r="I20" s="137"/>
    </row>
    <row r="21" spans="1:9" s="242" customFormat="1" ht="45.75" customHeight="1" x14ac:dyDescent="0.2">
      <c r="A21" s="424" t="s">
        <v>311</v>
      </c>
      <c r="B21" s="426" t="s">
        <v>553</v>
      </c>
      <c r="C21" s="432" t="s">
        <v>496</v>
      </c>
      <c r="D21" s="429"/>
      <c r="E21" s="431"/>
      <c r="F21" s="422" t="s">
        <v>658</v>
      </c>
      <c r="G21" s="361" t="s">
        <v>616</v>
      </c>
      <c r="H21" s="363" t="s">
        <v>618</v>
      </c>
      <c r="I21" s="277"/>
    </row>
    <row r="22" spans="1:9" s="242" customFormat="1" ht="12" customHeight="1" x14ac:dyDescent="0.2">
      <c r="A22" s="425"/>
      <c r="B22" s="425"/>
      <c r="C22" s="428"/>
      <c r="D22" s="430"/>
      <c r="E22" s="425"/>
      <c r="F22" s="423"/>
      <c r="G22" s="362" t="s">
        <v>617</v>
      </c>
      <c r="H22" s="267" t="s">
        <v>617</v>
      </c>
      <c r="I22" s="277"/>
    </row>
    <row r="23" spans="1:9" s="242" customFormat="1" ht="123" customHeight="1" x14ac:dyDescent="0.2">
      <c r="A23" s="424" t="s">
        <v>312</v>
      </c>
      <c r="B23" s="426" t="s">
        <v>553</v>
      </c>
      <c r="C23" s="432" t="s">
        <v>633</v>
      </c>
      <c r="D23" s="429"/>
      <c r="E23" s="433"/>
      <c r="F23" s="422" t="s">
        <v>658</v>
      </c>
      <c r="G23" s="361" t="s">
        <v>616</v>
      </c>
      <c r="H23" s="24" t="s">
        <v>618</v>
      </c>
      <c r="I23" s="277"/>
    </row>
    <row r="24" spans="1:9" s="242" customFormat="1" ht="18" customHeight="1" x14ac:dyDescent="0.2">
      <c r="A24" s="425"/>
      <c r="B24" s="425"/>
      <c r="C24" s="428"/>
      <c r="D24" s="430"/>
      <c r="E24" s="430"/>
      <c r="F24" s="423"/>
      <c r="G24" s="362" t="s">
        <v>617</v>
      </c>
      <c r="H24" s="24" t="s">
        <v>617</v>
      </c>
      <c r="I24" s="277"/>
    </row>
    <row r="25" spans="1:9" s="242" customFormat="1" ht="120" customHeight="1" x14ac:dyDescent="0.2">
      <c r="A25" s="130" t="s">
        <v>313</v>
      </c>
      <c r="B25" s="108" t="s">
        <v>553</v>
      </c>
      <c r="C25" s="17" t="s">
        <v>497</v>
      </c>
      <c r="D25" s="131"/>
      <c r="E25" s="111"/>
      <c r="F25" s="24" t="s">
        <v>658</v>
      </c>
      <c r="G25" s="191"/>
      <c r="H25" s="61" t="s">
        <v>209</v>
      </c>
      <c r="I25" s="277"/>
    </row>
    <row r="26" spans="1:9" s="242" customFormat="1" ht="161.25" customHeight="1" x14ac:dyDescent="0.2">
      <c r="A26" s="424" t="s">
        <v>314</v>
      </c>
      <c r="B26" s="426" t="s">
        <v>553</v>
      </c>
      <c r="C26" s="432" t="s">
        <v>498</v>
      </c>
      <c r="D26" s="429"/>
      <c r="E26" s="431"/>
      <c r="F26" s="422" t="s">
        <v>655</v>
      </c>
      <c r="G26" s="361" t="s">
        <v>616</v>
      </c>
      <c r="H26" s="363" t="s">
        <v>618</v>
      </c>
      <c r="I26" s="277"/>
    </row>
    <row r="27" spans="1:9" s="242" customFormat="1" ht="12" customHeight="1" x14ac:dyDescent="0.2">
      <c r="A27" s="425"/>
      <c r="B27" s="425"/>
      <c r="C27" s="428"/>
      <c r="D27" s="430"/>
      <c r="E27" s="425"/>
      <c r="F27" s="423"/>
      <c r="G27" s="362" t="s">
        <v>617</v>
      </c>
      <c r="H27" s="267" t="s">
        <v>617</v>
      </c>
      <c r="I27" s="243"/>
    </row>
    <row r="28" spans="1:9" s="279" customFormat="1" ht="75.75" customHeight="1" x14ac:dyDescent="0.2">
      <c r="A28" s="424" t="s">
        <v>315</v>
      </c>
      <c r="B28" s="426" t="s">
        <v>553</v>
      </c>
      <c r="C28" s="427" t="s">
        <v>435</v>
      </c>
      <c r="D28" s="429"/>
      <c r="E28" s="431"/>
      <c r="F28" s="422" t="s">
        <v>532</v>
      </c>
      <c r="G28" s="361" t="s">
        <v>616</v>
      </c>
      <c r="H28" s="372" t="s">
        <v>616</v>
      </c>
    </row>
    <row r="29" spans="1:9" s="279" customFormat="1" ht="15.75" customHeight="1" x14ac:dyDescent="0.2">
      <c r="A29" s="425"/>
      <c r="B29" s="425"/>
      <c r="C29" s="428"/>
      <c r="D29" s="430"/>
      <c r="E29" s="425"/>
      <c r="F29" s="423"/>
      <c r="G29" s="362" t="s">
        <v>617</v>
      </c>
      <c r="H29" s="372" t="s">
        <v>617</v>
      </c>
    </row>
    <row r="30" spans="1:9" s="242" customFormat="1" ht="39.75" customHeight="1" x14ac:dyDescent="0.2">
      <c r="A30" s="424" t="s">
        <v>316</v>
      </c>
      <c r="B30" s="426" t="s">
        <v>553</v>
      </c>
      <c r="C30" s="427" t="s">
        <v>499</v>
      </c>
      <c r="D30" s="429"/>
      <c r="E30" s="431"/>
      <c r="F30" s="422" t="s">
        <v>657</v>
      </c>
      <c r="G30" s="361" t="s">
        <v>616</v>
      </c>
      <c r="H30" s="363" t="s">
        <v>618</v>
      </c>
      <c r="I30" s="277"/>
    </row>
    <row r="31" spans="1:9" s="242" customFormat="1" ht="12" customHeight="1" x14ac:dyDescent="0.2">
      <c r="A31" s="425"/>
      <c r="B31" s="425"/>
      <c r="C31" s="428"/>
      <c r="D31" s="430"/>
      <c r="E31" s="425"/>
      <c r="F31" s="423"/>
      <c r="G31" s="362" t="s">
        <v>617</v>
      </c>
      <c r="H31" s="267" t="s">
        <v>617</v>
      </c>
      <c r="I31" s="277"/>
    </row>
    <row r="32" spans="1:9" s="242" customFormat="1" ht="33" customHeight="1" x14ac:dyDescent="0.2">
      <c r="A32" s="130" t="s">
        <v>317</v>
      </c>
      <c r="B32" s="108" t="s">
        <v>553</v>
      </c>
      <c r="C32" s="20" t="s">
        <v>500</v>
      </c>
      <c r="D32" s="131"/>
      <c r="E32" s="111"/>
      <c r="F32" s="24" t="s">
        <v>532</v>
      </c>
      <c r="G32" s="191"/>
      <c r="H32" s="61"/>
      <c r="I32" s="277"/>
    </row>
    <row r="33" spans="1:10" s="242" customFormat="1" ht="42.75" customHeight="1" x14ac:dyDescent="0.2">
      <c r="A33" s="415" t="s">
        <v>332</v>
      </c>
      <c r="B33" s="417" t="s">
        <v>553</v>
      </c>
      <c r="C33" s="418" t="s">
        <v>501</v>
      </c>
      <c r="D33" s="420"/>
      <c r="E33" s="421"/>
      <c r="F33" s="413" t="s">
        <v>655</v>
      </c>
      <c r="G33" s="361" t="s">
        <v>616</v>
      </c>
      <c r="H33" s="29" t="s">
        <v>618</v>
      </c>
      <c r="I33" s="277"/>
    </row>
    <row r="34" spans="1:10" s="242" customFormat="1" ht="12" customHeight="1" x14ac:dyDescent="0.2">
      <c r="A34" s="416"/>
      <c r="B34" s="416"/>
      <c r="C34" s="419"/>
      <c r="D34" s="412"/>
      <c r="E34" s="416"/>
      <c r="F34" s="414"/>
      <c r="G34" s="362" t="s">
        <v>617</v>
      </c>
      <c r="H34" s="141" t="s">
        <v>617</v>
      </c>
      <c r="I34" s="243"/>
    </row>
    <row r="35" spans="1:10" x14ac:dyDescent="0.2">
      <c r="A35" s="70"/>
      <c r="B35" s="70"/>
      <c r="C35" s="70"/>
      <c r="D35" s="70"/>
      <c r="E35" s="70"/>
      <c r="F35" s="281"/>
      <c r="G35" s="280"/>
      <c r="H35" s="70"/>
      <c r="I35" s="281"/>
      <c r="J35" s="51"/>
    </row>
    <row r="36" spans="1:10" ht="15" x14ac:dyDescent="0.2">
      <c r="A36" s="70"/>
      <c r="B36" s="70"/>
      <c r="C36" s="70"/>
      <c r="D36" s="70"/>
      <c r="E36" s="70"/>
      <c r="F36" s="311">
        <f>COUNTIF(G6:G33,"&gt;41079")</f>
        <v>0</v>
      </c>
      <c r="G36" s="282" t="e">
        <f>COUNTIF(G6:G33,"&gt;41079")/F39</f>
        <v>#DIV/0!</v>
      </c>
      <c r="H36" s="283" t="s">
        <v>403</v>
      </c>
      <c r="I36" s="281"/>
      <c r="J36" s="51"/>
    </row>
    <row r="37" spans="1:10" ht="15" x14ac:dyDescent="0.2">
      <c r="A37" s="70"/>
      <c r="B37" s="70"/>
      <c r="C37" s="70"/>
      <c r="D37" s="70"/>
      <c r="E37" s="70"/>
      <c r="F37" s="311">
        <f>COUNTIF(G6:G33,"*In Progress*")</f>
        <v>0</v>
      </c>
      <c r="G37" s="282" t="e">
        <f>COUNTIF(G6:G33,"*In Progress*")/F39</f>
        <v>#DIV/0!</v>
      </c>
      <c r="H37" s="283" t="s">
        <v>404</v>
      </c>
      <c r="I37" s="281"/>
      <c r="J37" s="51"/>
    </row>
    <row r="38" spans="1:10" ht="15" x14ac:dyDescent="0.2">
      <c r="A38" s="70"/>
      <c r="B38" s="70"/>
      <c r="C38" s="70"/>
      <c r="D38" s="70"/>
      <c r="E38" s="70"/>
      <c r="F38" s="283"/>
      <c r="G38" s="282"/>
      <c r="H38" s="284"/>
      <c r="I38" s="281"/>
      <c r="J38" s="51"/>
    </row>
    <row r="39" spans="1:10" ht="15" x14ac:dyDescent="0.2">
      <c r="A39" s="70"/>
      <c r="B39" s="70"/>
      <c r="C39" s="70"/>
      <c r="D39" s="70"/>
      <c r="E39" s="70"/>
      <c r="F39" s="311">
        <f>F36+F37</f>
        <v>0</v>
      </c>
      <c r="G39" s="282" t="e">
        <f>G36+G37</f>
        <v>#DIV/0!</v>
      </c>
      <c r="H39" s="284"/>
      <c r="I39" s="281"/>
      <c r="J39" s="51"/>
    </row>
  </sheetData>
  <sortState ref="A3:J22">
    <sortCondition ref="A3:A22"/>
  </sortState>
  <mergeCells count="81">
    <mergeCell ref="F9:F10"/>
    <mergeCell ref="A3:H3"/>
    <mergeCell ref="A4:H4"/>
    <mergeCell ref="A5:H5"/>
    <mergeCell ref="H1:H2"/>
    <mergeCell ref="A1:A2"/>
    <mergeCell ref="B1:B2"/>
    <mergeCell ref="C1:C2"/>
    <mergeCell ref="D1:E1"/>
    <mergeCell ref="F1:F2"/>
    <mergeCell ref="G1:G2"/>
    <mergeCell ref="A7:A8"/>
    <mergeCell ref="B7:B8"/>
    <mergeCell ref="C7:C8"/>
    <mergeCell ref="D7:E8"/>
    <mergeCell ref="F7:F8"/>
    <mergeCell ref="A9:A10"/>
    <mergeCell ref="B9:B10"/>
    <mergeCell ref="C9:C10"/>
    <mergeCell ref="D9:D10"/>
    <mergeCell ref="E9:E10"/>
    <mergeCell ref="F12:F13"/>
    <mergeCell ref="A14:A15"/>
    <mergeCell ref="B14:B15"/>
    <mergeCell ref="C14:C15"/>
    <mergeCell ref="D14:D15"/>
    <mergeCell ref="E14:E15"/>
    <mergeCell ref="F14:F15"/>
    <mergeCell ref="A12:A13"/>
    <mergeCell ref="B12:B13"/>
    <mergeCell ref="C12:C13"/>
    <mergeCell ref="D12:D13"/>
    <mergeCell ref="E12:E13"/>
    <mergeCell ref="F16:F17"/>
    <mergeCell ref="A16:A17"/>
    <mergeCell ref="B16:B17"/>
    <mergeCell ref="C16:C17"/>
    <mergeCell ref="D16:D17"/>
    <mergeCell ref="E16:E17"/>
    <mergeCell ref="D21:D22"/>
    <mergeCell ref="E21:E22"/>
    <mergeCell ref="F21:F22"/>
    <mergeCell ref="A18:A19"/>
    <mergeCell ref="B18:B19"/>
    <mergeCell ref="C18:C19"/>
    <mergeCell ref="D18:D19"/>
    <mergeCell ref="E18:E19"/>
    <mergeCell ref="F18:F19"/>
    <mergeCell ref="A21:A22"/>
    <mergeCell ref="B21:B22"/>
    <mergeCell ref="C21:C22"/>
    <mergeCell ref="F23:F24"/>
    <mergeCell ref="A26:A27"/>
    <mergeCell ref="B26:B27"/>
    <mergeCell ref="C26:C27"/>
    <mergeCell ref="D26:D27"/>
    <mergeCell ref="E26:E27"/>
    <mergeCell ref="F26:F27"/>
    <mergeCell ref="A23:A24"/>
    <mergeCell ref="B23:B24"/>
    <mergeCell ref="C23:C24"/>
    <mergeCell ref="D23:D24"/>
    <mergeCell ref="E23:E24"/>
    <mergeCell ref="F28:F29"/>
    <mergeCell ref="A30:A31"/>
    <mergeCell ref="B30:B31"/>
    <mergeCell ref="C30:C31"/>
    <mergeCell ref="D30:D31"/>
    <mergeCell ref="E30:E31"/>
    <mergeCell ref="F30:F31"/>
    <mergeCell ref="A28:A29"/>
    <mergeCell ref="B28:B29"/>
    <mergeCell ref="C28:C29"/>
    <mergeCell ref="D28:D29"/>
    <mergeCell ref="E28:E29"/>
    <mergeCell ref="F33:F34"/>
    <mergeCell ref="A33:A34"/>
    <mergeCell ref="B33:B34"/>
    <mergeCell ref="C33:C34"/>
    <mergeCell ref="D33:D34"/>
    <mergeCell ref="E33:E34"/>
  </mergeCells>
  <conditionalFormatting sqref="G20 G25 G32 G6:G11">
    <cfRule type="containsText" dxfId="61" priority="21" operator="containsText" text="*In Progress*">
      <formula>NOT(ISERROR(SEARCH("*In Progress*",G6)))</formula>
    </cfRule>
    <cfRule type="cellIs" dxfId="60" priority="22" operator="between">
      <formula>40179</formula>
      <formula>46022</formula>
    </cfRule>
  </conditionalFormatting>
  <conditionalFormatting sqref="G12:G13">
    <cfRule type="containsText" dxfId="59" priority="19" operator="containsText" text="*In Progress*">
      <formula>NOT(ISERROR(SEARCH("*In Progress*",G12)))</formula>
    </cfRule>
    <cfRule type="cellIs" dxfId="58" priority="20" operator="between">
      <formula>40179</formula>
      <formula>46022</formula>
    </cfRule>
  </conditionalFormatting>
  <conditionalFormatting sqref="G14:G15">
    <cfRule type="containsText" dxfId="57" priority="17" operator="containsText" text="*In Progress*">
      <formula>NOT(ISERROR(SEARCH("*In Progress*",G14)))</formula>
    </cfRule>
    <cfRule type="cellIs" dxfId="56" priority="18" operator="between">
      <formula>40179</formula>
      <formula>46022</formula>
    </cfRule>
  </conditionalFormatting>
  <conditionalFormatting sqref="G16:G17">
    <cfRule type="containsText" dxfId="55" priority="15" operator="containsText" text="*In Progress*">
      <formula>NOT(ISERROR(SEARCH("*In Progress*",G16)))</formula>
    </cfRule>
    <cfRule type="cellIs" dxfId="54" priority="16" operator="between">
      <formula>40179</formula>
      <formula>46022</formula>
    </cfRule>
  </conditionalFormatting>
  <conditionalFormatting sqref="G21:G22">
    <cfRule type="containsText" dxfId="53" priority="13" operator="containsText" text="*In Progress*">
      <formula>NOT(ISERROR(SEARCH("*In Progress*",G21)))</formula>
    </cfRule>
    <cfRule type="cellIs" dxfId="52" priority="14" operator="between">
      <formula>40179</formula>
      <formula>46022</formula>
    </cfRule>
  </conditionalFormatting>
  <conditionalFormatting sqref="G18:G19">
    <cfRule type="containsText" dxfId="51" priority="11" operator="containsText" text="*In Progress*">
      <formula>NOT(ISERROR(SEARCH("*In Progress*",G18)))</formula>
    </cfRule>
    <cfRule type="cellIs" dxfId="50" priority="12" operator="between">
      <formula>40179</formula>
      <formula>46022</formula>
    </cfRule>
  </conditionalFormatting>
  <conditionalFormatting sqref="G23:G24">
    <cfRule type="containsText" dxfId="49" priority="9" operator="containsText" text="*In Progress*">
      <formula>NOT(ISERROR(SEARCH("*In Progress*",G23)))</formula>
    </cfRule>
    <cfRule type="cellIs" dxfId="48" priority="10" operator="between">
      <formula>40179</formula>
      <formula>46022</formula>
    </cfRule>
  </conditionalFormatting>
  <conditionalFormatting sqref="G26:G27">
    <cfRule type="containsText" dxfId="47" priority="7" operator="containsText" text="*In Progress*">
      <formula>NOT(ISERROR(SEARCH("*In Progress*",G26)))</formula>
    </cfRule>
    <cfRule type="cellIs" dxfId="46" priority="8" operator="between">
      <formula>40179</formula>
      <formula>46022</formula>
    </cfRule>
  </conditionalFormatting>
  <conditionalFormatting sqref="G28:G29">
    <cfRule type="containsText" dxfId="45" priority="5" operator="containsText" text="*In Progress*">
      <formula>NOT(ISERROR(SEARCH("*In Progress*",G28)))</formula>
    </cfRule>
    <cfRule type="cellIs" dxfId="44" priority="6" operator="between">
      <formula>40179</formula>
      <formula>46022</formula>
    </cfRule>
  </conditionalFormatting>
  <conditionalFormatting sqref="G30:G31">
    <cfRule type="containsText" dxfId="43" priority="3" operator="containsText" text="*In Progress*">
      <formula>NOT(ISERROR(SEARCH("*In Progress*",G30)))</formula>
    </cfRule>
    <cfRule type="cellIs" dxfId="42" priority="4" operator="between">
      <formula>40179</formula>
      <formula>46022</formula>
    </cfRule>
  </conditionalFormatting>
  <conditionalFormatting sqref="G33:G34">
    <cfRule type="containsText" dxfId="41" priority="1" operator="containsText" text="*In Progress*">
      <formula>NOT(ISERROR(SEARCH("*In Progress*",G33)))</formula>
    </cfRule>
    <cfRule type="cellIs" dxfId="40" priority="2" operator="between">
      <formula>40179</formula>
      <formula>46022</formula>
    </cfRule>
  </conditionalFormatting>
  <printOptions horizontalCentered="1"/>
  <pageMargins left="0.75" right="0.75" top="1" bottom="1" header="0.5" footer="0.5"/>
  <pageSetup scale="58" fitToHeight="0" orientation="landscape" horizontalDpi="300" verticalDpi="300" r:id="rId1"/>
  <headerFooter alignWithMargins="0">
    <oddHeader>&amp;C&amp;F
Co-Location Preparation</oddHeader>
    <oddFooter>&amp;LCo-Location Preparation Activities&amp;C&amp;D&amp;RPage &amp;P of &amp;N Pages</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J28"/>
  <sheetViews>
    <sheetView zoomScale="70" zoomScaleNormal="70" workbookViewId="0">
      <pane ySplit="2" topLeftCell="A8" activePane="bottomLeft" state="frozen"/>
      <selection pane="bottomLeft" activeCell="F11" sqref="F11"/>
    </sheetView>
  </sheetViews>
  <sheetFormatPr defaultRowHeight="12.75" x14ac:dyDescent="0.2"/>
  <cols>
    <col min="2" max="2" width="13.5703125" customWidth="1"/>
    <col min="3" max="3" width="52.7109375" customWidth="1"/>
    <col min="4" max="4" width="18.7109375" customWidth="1"/>
    <col min="5" max="5" width="17.7109375" customWidth="1"/>
    <col min="6" max="6" width="16.85546875" style="23" customWidth="1"/>
    <col min="7" max="7" width="15.7109375" style="196" customWidth="1"/>
    <col min="8" max="8" width="29" customWidth="1"/>
    <col min="9" max="9" width="28.5703125" style="23" customWidth="1"/>
    <col min="10" max="10" width="29.140625" style="34" customWidth="1"/>
  </cols>
  <sheetData>
    <row r="1" spans="1:10" ht="14.45" customHeight="1" x14ac:dyDescent="0.2">
      <c r="A1" s="398" t="s">
        <v>31</v>
      </c>
      <c r="B1" s="404" t="s">
        <v>559</v>
      </c>
      <c r="C1" s="401" t="s">
        <v>32</v>
      </c>
      <c r="D1" s="403" t="s">
        <v>33</v>
      </c>
      <c r="E1" s="403"/>
      <c r="F1" s="404" t="s">
        <v>160</v>
      </c>
      <c r="G1" s="405" t="s">
        <v>151</v>
      </c>
      <c r="H1" s="389" t="s">
        <v>161</v>
      </c>
      <c r="I1" s="87"/>
      <c r="J1"/>
    </row>
    <row r="2" spans="1:10" ht="27.75" customHeight="1" x14ac:dyDescent="0.2">
      <c r="A2" s="398"/>
      <c r="B2" s="404"/>
      <c r="C2" s="402"/>
      <c r="D2" s="103" t="s">
        <v>34</v>
      </c>
      <c r="E2" s="103" t="s">
        <v>35</v>
      </c>
      <c r="F2" s="404"/>
      <c r="G2" s="405"/>
      <c r="H2" s="389"/>
      <c r="I2" s="87"/>
      <c r="J2"/>
    </row>
    <row r="3" spans="1:10" ht="18" x14ac:dyDescent="0.2">
      <c r="A3" s="390" t="s">
        <v>250</v>
      </c>
      <c r="B3" s="445"/>
      <c r="C3" s="445"/>
      <c r="D3" s="445"/>
      <c r="E3" s="445"/>
      <c r="F3" s="445"/>
      <c r="G3" s="445"/>
      <c r="H3" s="446"/>
      <c r="I3" s="87"/>
      <c r="J3"/>
    </row>
    <row r="4" spans="1:10" ht="13.5" customHeight="1" x14ac:dyDescent="0.2">
      <c r="A4" s="394" t="s">
        <v>585</v>
      </c>
      <c r="B4" s="394"/>
      <c r="C4" s="394"/>
      <c r="D4" s="394"/>
      <c r="E4" s="394"/>
      <c r="F4" s="394"/>
      <c r="G4" s="394"/>
      <c r="H4" s="394"/>
      <c r="I4" s="87"/>
      <c r="J4"/>
    </row>
    <row r="5" spans="1:10" ht="15" x14ac:dyDescent="0.2">
      <c r="A5" s="409" t="s">
        <v>262</v>
      </c>
      <c r="B5" s="410"/>
      <c r="C5" s="410"/>
      <c r="D5" s="410"/>
      <c r="E5" s="410"/>
      <c r="F5" s="410"/>
      <c r="G5" s="410"/>
      <c r="H5" s="410"/>
      <c r="I5" s="87"/>
      <c r="J5"/>
    </row>
    <row r="6" spans="1:10" s="132" customFormat="1" ht="36" x14ac:dyDescent="0.2">
      <c r="A6" s="83" t="s">
        <v>323</v>
      </c>
      <c r="B6" s="24" t="s">
        <v>36</v>
      </c>
      <c r="C6" s="17" t="s">
        <v>588</v>
      </c>
      <c r="D6" s="29"/>
      <c r="E6" s="25"/>
      <c r="F6" s="24" t="s">
        <v>532</v>
      </c>
      <c r="H6" s="191" t="s">
        <v>589</v>
      </c>
    </row>
    <row r="7" spans="1:10" s="133" customFormat="1" ht="324" x14ac:dyDescent="0.2">
      <c r="A7" s="83" t="s">
        <v>324</v>
      </c>
      <c r="B7" s="24" t="s">
        <v>36</v>
      </c>
      <c r="C7" s="146" t="s">
        <v>393</v>
      </c>
      <c r="D7" s="15"/>
      <c r="E7" s="25"/>
      <c r="F7" s="24" t="s">
        <v>532</v>
      </c>
      <c r="G7" s="191"/>
      <c r="H7" s="166"/>
    </row>
    <row r="8" spans="1:10" s="133" customFormat="1" ht="60" x14ac:dyDescent="0.2">
      <c r="A8" s="115" t="s">
        <v>325</v>
      </c>
      <c r="B8" s="107" t="s">
        <v>36</v>
      </c>
      <c r="C8" s="110" t="s">
        <v>590</v>
      </c>
      <c r="D8" s="111"/>
      <c r="E8" s="111" t="s">
        <v>39</v>
      </c>
      <c r="F8" s="24" t="s">
        <v>532</v>
      </c>
      <c r="G8" s="191"/>
      <c r="H8" s="25"/>
    </row>
    <row r="9" spans="1:10" s="132" customFormat="1" ht="52.5" customHeight="1" x14ac:dyDescent="0.2">
      <c r="A9" s="455" t="s">
        <v>326</v>
      </c>
      <c r="B9" s="422" t="s">
        <v>560</v>
      </c>
      <c r="C9" s="432" t="s">
        <v>437</v>
      </c>
      <c r="D9" s="456"/>
      <c r="E9" s="444"/>
      <c r="F9" s="422" t="s">
        <v>532</v>
      </c>
      <c r="G9" s="361" t="s">
        <v>616</v>
      </c>
      <c r="H9" s="363" t="s">
        <v>618</v>
      </c>
      <c r="I9" s="240"/>
    </row>
    <row r="10" spans="1:10" s="132" customFormat="1" ht="12" customHeight="1" x14ac:dyDescent="0.2">
      <c r="A10" s="423"/>
      <c r="B10" s="423"/>
      <c r="C10" s="428"/>
      <c r="D10" s="443"/>
      <c r="E10" s="423"/>
      <c r="F10" s="423"/>
      <c r="G10" s="362" t="s">
        <v>617</v>
      </c>
      <c r="H10" s="267" t="s">
        <v>617</v>
      </c>
      <c r="I10" s="240"/>
    </row>
    <row r="11" spans="1:10" s="132" customFormat="1" ht="25.5" customHeight="1" x14ac:dyDescent="0.2">
      <c r="A11" s="287" t="s">
        <v>327</v>
      </c>
      <c r="B11" s="24" t="s">
        <v>561</v>
      </c>
      <c r="C11" s="17" t="s">
        <v>460</v>
      </c>
      <c r="D11" s="29"/>
      <c r="E11" s="25"/>
      <c r="F11" s="24" t="s">
        <v>650</v>
      </c>
      <c r="G11" s="191"/>
      <c r="H11" s="29"/>
      <c r="I11" s="240"/>
    </row>
    <row r="12" spans="1:10" s="132" customFormat="1" ht="47.25" customHeight="1" x14ac:dyDescent="0.2">
      <c r="A12" s="455" t="s">
        <v>328</v>
      </c>
      <c r="B12" s="422" t="s">
        <v>561</v>
      </c>
      <c r="C12" s="432" t="s">
        <v>438</v>
      </c>
      <c r="D12" s="456"/>
      <c r="E12" s="444"/>
      <c r="F12" s="422" t="s">
        <v>532</v>
      </c>
      <c r="G12" s="361" t="s">
        <v>616</v>
      </c>
      <c r="H12" s="363" t="s">
        <v>618</v>
      </c>
      <c r="I12" s="240"/>
    </row>
    <row r="13" spans="1:10" s="132" customFormat="1" ht="47.25" customHeight="1" x14ac:dyDescent="0.2">
      <c r="A13" s="423"/>
      <c r="B13" s="423"/>
      <c r="C13" s="428"/>
      <c r="D13" s="443"/>
      <c r="E13" s="423"/>
      <c r="F13" s="423"/>
      <c r="G13" s="362" t="s">
        <v>617</v>
      </c>
      <c r="H13" s="267" t="s">
        <v>617</v>
      </c>
      <c r="I13" s="240"/>
    </row>
    <row r="14" spans="1:10" s="175" customFormat="1" ht="192" customHeight="1" x14ac:dyDescent="0.2">
      <c r="A14" s="369" t="s">
        <v>329</v>
      </c>
      <c r="B14" s="365" t="s">
        <v>561</v>
      </c>
      <c r="C14" s="366" t="s">
        <v>625</v>
      </c>
      <c r="D14" s="368"/>
      <c r="E14" s="367"/>
      <c r="F14" s="365" t="s">
        <v>532</v>
      </c>
      <c r="G14" s="361" t="s">
        <v>616</v>
      </c>
      <c r="H14" s="24" t="s">
        <v>208</v>
      </c>
      <c r="I14" s="285"/>
    </row>
    <row r="15" spans="1:10" s="132" customFormat="1" ht="23.25" customHeight="1" x14ac:dyDescent="0.2">
      <c r="A15" s="457" t="s">
        <v>330</v>
      </c>
      <c r="B15" s="422" t="s">
        <v>560</v>
      </c>
      <c r="C15" s="462" t="s">
        <v>562</v>
      </c>
      <c r="D15" s="460"/>
      <c r="E15" s="458"/>
      <c r="F15" s="422" t="s">
        <v>532</v>
      </c>
      <c r="G15" s="361" t="s">
        <v>616</v>
      </c>
      <c r="H15" s="373" t="s">
        <v>618</v>
      </c>
      <c r="I15" s="286"/>
    </row>
    <row r="16" spans="1:10" s="175" customFormat="1" ht="23.25" customHeight="1" x14ac:dyDescent="0.2">
      <c r="A16" s="443"/>
      <c r="B16" s="423"/>
      <c r="C16" s="428"/>
      <c r="D16" s="461"/>
      <c r="E16" s="459"/>
      <c r="F16" s="423"/>
      <c r="G16" s="362" t="s">
        <v>617</v>
      </c>
      <c r="H16" s="267" t="s">
        <v>617</v>
      </c>
      <c r="I16" s="240"/>
    </row>
    <row r="17" spans="1:9" s="175" customFormat="1" ht="42" customHeight="1" x14ac:dyDescent="0.2">
      <c r="A17" s="457" t="s">
        <v>632</v>
      </c>
      <c r="B17" s="422" t="s">
        <v>561</v>
      </c>
      <c r="C17" s="432" t="s">
        <v>439</v>
      </c>
      <c r="D17" s="456"/>
      <c r="E17" s="444"/>
      <c r="F17" s="422" t="s">
        <v>532</v>
      </c>
      <c r="G17" s="361" t="s">
        <v>616</v>
      </c>
      <c r="H17" s="363" t="s">
        <v>618</v>
      </c>
      <c r="I17" s="240"/>
    </row>
    <row r="18" spans="1:9" s="175" customFormat="1" ht="18" customHeight="1" x14ac:dyDescent="0.2">
      <c r="A18" s="443"/>
      <c r="B18" s="423"/>
      <c r="C18" s="428"/>
      <c r="D18" s="443"/>
      <c r="E18" s="423"/>
      <c r="F18" s="423"/>
      <c r="G18" s="362" t="s">
        <v>617</v>
      </c>
      <c r="H18" s="267" t="s">
        <v>617</v>
      </c>
      <c r="I18" s="240"/>
    </row>
    <row r="19" spans="1:9" s="132" customFormat="1" ht="87.75" customHeight="1" x14ac:dyDescent="0.2">
      <c r="A19" s="455" t="s">
        <v>331</v>
      </c>
      <c r="B19" s="422" t="s">
        <v>560</v>
      </c>
      <c r="C19" s="432" t="s">
        <v>563</v>
      </c>
      <c r="D19" s="456"/>
      <c r="E19" s="444"/>
      <c r="F19" s="422" t="s">
        <v>532</v>
      </c>
      <c r="G19" s="361" t="s">
        <v>616</v>
      </c>
      <c r="H19" s="363" t="s">
        <v>618</v>
      </c>
    </row>
    <row r="20" spans="1:9" s="132" customFormat="1" x14ac:dyDescent="0.2">
      <c r="A20" s="423"/>
      <c r="B20" s="423"/>
      <c r="C20" s="428"/>
      <c r="D20" s="443"/>
      <c r="E20" s="423"/>
      <c r="F20" s="423"/>
      <c r="G20" s="362" t="s">
        <v>617</v>
      </c>
      <c r="H20" s="267" t="s">
        <v>617</v>
      </c>
    </row>
    <row r="21" spans="1:9" s="132" customFormat="1" ht="37.5" customHeight="1" x14ac:dyDescent="0.2">
      <c r="A21" s="452" t="s">
        <v>459</v>
      </c>
      <c r="B21" s="413" t="s">
        <v>560</v>
      </c>
      <c r="C21" s="418" t="s">
        <v>564</v>
      </c>
      <c r="D21" s="453"/>
      <c r="E21" s="454"/>
      <c r="F21" s="413" t="s">
        <v>532</v>
      </c>
      <c r="G21" s="361" t="s">
        <v>616</v>
      </c>
      <c r="H21" s="29" t="s">
        <v>618</v>
      </c>
    </row>
    <row r="22" spans="1:9" x14ac:dyDescent="0.2">
      <c r="A22" s="446"/>
      <c r="B22" s="446"/>
      <c r="C22" s="446"/>
      <c r="D22" s="446"/>
      <c r="E22" s="446"/>
      <c r="F22" s="451"/>
      <c r="G22" s="362" t="s">
        <v>617</v>
      </c>
      <c r="H22" s="141" t="s">
        <v>617</v>
      </c>
    </row>
    <row r="25" spans="1:9" ht="15" x14ac:dyDescent="0.2">
      <c r="F25" s="312">
        <f>COUNTIF(G6:G21,"&gt;41079")</f>
        <v>0</v>
      </c>
      <c r="G25" s="228" t="e">
        <f>COUNTIF(G6:G21,"&gt;41079")/F28</f>
        <v>#DIV/0!</v>
      </c>
      <c r="H25" s="163" t="s">
        <v>403</v>
      </c>
    </row>
    <row r="26" spans="1:9" ht="15" x14ac:dyDescent="0.2">
      <c r="F26" s="312">
        <f>COUNTIF(G6:G21,"*In Progress*")</f>
        <v>0</v>
      </c>
      <c r="G26" s="228" t="e">
        <f>COUNTIF(G6:G21,"*In Progress*")/F28</f>
        <v>#DIV/0!</v>
      </c>
      <c r="H26" s="164" t="s">
        <v>404</v>
      </c>
    </row>
    <row r="27" spans="1:9" ht="15" x14ac:dyDescent="0.2">
      <c r="F27" s="313"/>
      <c r="G27" s="228"/>
      <c r="H27" s="165"/>
    </row>
    <row r="28" spans="1:9" ht="15" x14ac:dyDescent="0.2">
      <c r="F28" s="312">
        <f>F25+F26</f>
        <v>0</v>
      </c>
      <c r="G28" s="228" t="e">
        <f>G25+G26</f>
        <v>#DIV/0!</v>
      </c>
      <c r="H28" s="165"/>
    </row>
  </sheetData>
  <mergeCells count="46">
    <mergeCell ref="F15:F16"/>
    <mergeCell ref="E15:E16"/>
    <mergeCell ref="D15:D16"/>
    <mergeCell ref="C15:C16"/>
    <mergeCell ref="B15:B16"/>
    <mergeCell ref="A15:A16"/>
    <mergeCell ref="H1:H2"/>
    <mergeCell ref="A1:A2"/>
    <mergeCell ref="B1:B2"/>
    <mergeCell ref="C1:C2"/>
    <mergeCell ref="D1:E1"/>
    <mergeCell ref="F1:F2"/>
    <mergeCell ref="G1:G2"/>
    <mergeCell ref="A3:H3"/>
    <mergeCell ref="A4:H4"/>
    <mergeCell ref="A5:H5"/>
    <mergeCell ref="F9:F10"/>
    <mergeCell ref="A12:A13"/>
    <mergeCell ref="B12:B13"/>
    <mergeCell ref="C12:C13"/>
    <mergeCell ref="D12:D13"/>
    <mergeCell ref="E12:E13"/>
    <mergeCell ref="F12:F13"/>
    <mergeCell ref="A9:A10"/>
    <mergeCell ref="B9:B10"/>
    <mergeCell ref="C9:C10"/>
    <mergeCell ref="D9:D10"/>
    <mergeCell ref="E9:E10"/>
    <mergeCell ref="F17:F18"/>
    <mergeCell ref="A19:A20"/>
    <mergeCell ref="B19:B20"/>
    <mergeCell ref="C19:C20"/>
    <mergeCell ref="D19:D20"/>
    <mergeCell ref="E19:E20"/>
    <mergeCell ref="F19:F20"/>
    <mergeCell ref="A17:A18"/>
    <mergeCell ref="B17:B18"/>
    <mergeCell ref="C17:C18"/>
    <mergeCell ref="D17:D18"/>
    <mergeCell ref="E17:E18"/>
    <mergeCell ref="F21:F22"/>
    <mergeCell ref="A21:A22"/>
    <mergeCell ref="B21:B22"/>
    <mergeCell ref="C21:C22"/>
    <mergeCell ref="D21:D22"/>
    <mergeCell ref="E21:E22"/>
  </mergeCells>
  <conditionalFormatting sqref="G7:G8 H6 G11">
    <cfRule type="cellIs" dxfId="39" priority="21" operator="between">
      <formula>40179</formula>
      <formula>46022</formula>
    </cfRule>
    <cfRule type="containsText" dxfId="38" priority="22" operator="containsText" text="*In Progress*">
      <formula>NOT(ISERROR(SEARCH("*In Progress*",G6)))</formula>
    </cfRule>
  </conditionalFormatting>
  <conditionalFormatting sqref="G9:G10">
    <cfRule type="containsText" dxfId="37" priority="17" operator="containsText" text="*In Progress*">
      <formula>NOT(ISERROR(SEARCH("*In Progress*",G9)))</formula>
    </cfRule>
    <cfRule type="cellIs" dxfId="36" priority="18" operator="between">
      <formula>40179</formula>
      <formula>46022</formula>
    </cfRule>
  </conditionalFormatting>
  <conditionalFormatting sqref="G12:G13">
    <cfRule type="containsText" dxfId="35" priority="15" operator="containsText" text="*In Progress*">
      <formula>NOT(ISERROR(SEARCH("*In Progress*",G12)))</formula>
    </cfRule>
    <cfRule type="cellIs" dxfId="34" priority="16" operator="between">
      <formula>40179</formula>
      <formula>46022</formula>
    </cfRule>
  </conditionalFormatting>
  <conditionalFormatting sqref="G14">
    <cfRule type="containsText" dxfId="33" priority="11" operator="containsText" text="*In Progress*">
      <formula>NOT(ISERROR(SEARCH("*In Progress*",G14)))</formula>
    </cfRule>
    <cfRule type="cellIs" dxfId="32" priority="12" operator="between">
      <formula>40179</formula>
      <formula>46022</formula>
    </cfRule>
  </conditionalFormatting>
  <conditionalFormatting sqref="G19:G20">
    <cfRule type="containsText" dxfId="31" priority="9" operator="containsText" text="*In Progress*">
      <formula>NOT(ISERROR(SEARCH("*In Progress*",G19)))</formula>
    </cfRule>
    <cfRule type="cellIs" dxfId="30" priority="10" operator="between">
      <formula>40179</formula>
      <formula>46022</formula>
    </cfRule>
  </conditionalFormatting>
  <conditionalFormatting sqref="G17:G18">
    <cfRule type="containsText" dxfId="29" priority="7" operator="containsText" text="*In Progress*">
      <formula>NOT(ISERROR(SEARCH("*In Progress*",G17)))</formula>
    </cfRule>
    <cfRule type="cellIs" dxfId="28" priority="8" operator="between">
      <formula>40179</formula>
      <formula>46022</formula>
    </cfRule>
  </conditionalFormatting>
  <conditionalFormatting sqref="G21:G22">
    <cfRule type="containsText" dxfId="27" priority="5" operator="containsText" text="*In Progress*">
      <formula>NOT(ISERROR(SEARCH("*In Progress*",G21)))</formula>
    </cfRule>
    <cfRule type="cellIs" dxfId="26" priority="6" operator="between">
      <formula>40179</formula>
      <formula>46022</formula>
    </cfRule>
  </conditionalFormatting>
  <conditionalFormatting sqref="G16">
    <cfRule type="containsText" dxfId="25" priority="1" operator="containsText" text="*In Progress*">
      <formula>NOT(ISERROR(SEARCH("*In Progress*",G16)))</formula>
    </cfRule>
    <cfRule type="cellIs" dxfId="24" priority="2" operator="between">
      <formula>40179</formula>
      <formula>46022</formula>
    </cfRule>
  </conditionalFormatting>
  <conditionalFormatting sqref="G15">
    <cfRule type="containsText" dxfId="23" priority="3" operator="containsText" text="*In Progress*">
      <formula>NOT(ISERROR(SEARCH("*In Progress*",G15)))</formula>
    </cfRule>
    <cfRule type="cellIs" dxfId="22" priority="4" operator="between">
      <formula>40179</formula>
      <formula>46022</formula>
    </cfRule>
  </conditionalFormatting>
  <printOptions horizontalCentered="1"/>
  <pageMargins left="0.75" right="0.75" top="1" bottom="1" header="0.5" footer="0.5"/>
  <pageSetup scale="58" fitToHeight="0" orientation="landscape" horizontalDpi="300" verticalDpi="300" r:id="rId1"/>
  <headerFooter alignWithMargins="0">
    <oddHeader>&amp;C&amp;F
Co-Location Preparation</oddHeader>
    <oddFooter>&amp;LCo-Location Preparation Activities&amp;C&amp;D&amp;RPage &amp;P of &amp;N Pages</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25"/>
  <sheetViews>
    <sheetView zoomScale="80" zoomScaleNormal="80" workbookViewId="0">
      <selection activeCell="C10" sqref="C10"/>
    </sheetView>
  </sheetViews>
  <sheetFormatPr defaultRowHeight="12.75" x14ac:dyDescent="0.2"/>
  <cols>
    <col min="2" max="2" width="11.42578125" customWidth="1"/>
    <col min="3" max="3" width="49.7109375" customWidth="1"/>
    <col min="4" max="4" width="21.7109375" customWidth="1"/>
    <col min="5" max="5" width="13.140625" customWidth="1"/>
    <col min="6" max="6" width="16.85546875" style="23" customWidth="1"/>
    <col min="7" max="7" width="15.7109375" style="196" customWidth="1"/>
    <col min="8" max="8" width="29" customWidth="1"/>
    <col min="9" max="9" width="28.5703125" style="23" customWidth="1"/>
    <col min="10" max="10" width="29.140625" style="34" customWidth="1"/>
  </cols>
  <sheetData>
    <row r="1" spans="1:10" x14ac:dyDescent="0.2">
      <c r="A1" s="398" t="s">
        <v>31</v>
      </c>
      <c r="B1" s="404" t="s">
        <v>559</v>
      </c>
      <c r="C1" s="401" t="s">
        <v>32</v>
      </c>
      <c r="D1" s="403" t="s">
        <v>33</v>
      </c>
      <c r="E1" s="403"/>
      <c r="F1" s="404" t="s">
        <v>160</v>
      </c>
      <c r="G1" s="405" t="s">
        <v>151</v>
      </c>
      <c r="H1" s="389" t="s">
        <v>161</v>
      </c>
      <c r="I1" s="87"/>
      <c r="J1"/>
    </row>
    <row r="2" spans="1:10" ht="19.149999999999999" customHeight="1" x14ac:dyDescent="0.2">
      <c r="A2" s="398"/>
      <c r="B2" s="404"/>
      <c r="C2" s="402"/>
      <c r="D2" s="140" t="s">
        <v>34</v>
      </c>
      <c r="E2" s="140" t="s">
        <v>35</v>
      </c>
      <c r="F2" s="404"/>
      <c r="G2" s="405"/>
      <c r="H2" s="389"/>
      <c r="I2" s="87"/>
      <c r="J2"/>
    </row>
    <row r="3" spans="1:10" ht="18" x14ac:dyDescent="0.2">
      <c r="A3" s="390" t="s">
        <v>340</v>
      </c>
      <c r="B3" s="391"/>
      <c r="C3" s="392"/>
      <c r="D3" s="392"/>
      <c r="E3" s="392"/>
      <c r="F3" s="392"/>
      <c r="G3" s="392"/>
      <c r="H3" s="393"/>
      <c r="I3" s="87"/>
      <c r="J3"/>
    </row>
    <row r="4" spans="1:10" ht="13.5" customHeight="1" x14ac:dyDescent="0.2">
      <c r="A4" s="394" t="s">
        <v>584</v>
      </c>
      <c r="B4" s="394"/>
      <c r="C4" s="394"/>
      <c r="D4" s="394"/>
      <c r="E4" s="394"/>
      <c r="F4" s="394"/>
      <c r="G4" s="394"/>
      <c r="H4" s="394"/>
      <c r="I4" s="87"/>
      <c r="J4"/>
    </row>
    <row r="5" spans="1:10" s="237" customFormat="1" ht="48" x14ac:dyDescent="0.2">
      <c r="A5" s="130" t="s">
        <v>341</v>
      </c>
      <c r="B5" s="108" t="s">
        <v>36</v>
      </c>
      <c r="C5" s="108" t="s">
        <v>465</v>
      </c>
      <c r="D5" s="306" t="s">
        <v>165</v>
      </c>
      <c r="E5" s="111" t="s">
        <v>338</v>
      </c>
      <c r="F5" s="24" t="s">
        <v>536</v>
      </c>
      <c r="G5" s="261" t="s">
        <v>334</v>
      </c>
      <c r="H5" s="61"/>
      <c r="I5" s="307"/>
    </row>
    <row r="6" spans="1:10" s="19" customFormat="1" ht="24" x14ac:dyDescent="0.2">
      <c r="A6" s="115" t="s">
        <v>342</v>
      </c>
      <c r="B6" s="108" t="s">
        <v>36</v>
      </c>
      <c r="C6" s="107" t="s">
        <v>174</v>
      </c>
      <c r="D6" s="129"/>
      <c r="E6" s="111"/>
      <c r="F6" s="24" t="s">
        <v>656</v>
      </c>
      <c r="G6" s="191"/>
      <c r="H6" s="166"/>
    </row>
    <row r="7" spans="1:10" s="19" customFormat="1" ht="24" x14ac:dyDescent="0.2">
      <c r="A7" s="115" t="s">
        <v>343</v>
      </c>
      <c r="B7" s="108" t="s">
        <v>36</v>
      </c>
      <c r="C7" s="107" t="s">
        <v>177</v>
      </c>
      <c r="D7" s="129"/>
      <c r="E7" s="111"/>
      <c r="F7" s="24"/>
      <c r="G7" s="191"/>
      <c r="H7" s="166"/>
    </row>
    <row r="8" spans="1:10" ht="96" x14ac:dyDescent="0.2">
      <c r="A8" s="130" t="s">
        <v>344</v>
      </c>
      <c r="B8" s="108" t="s">
        <v>36</v>
      </c>
      <c r="C8" s="108" t="s">
        <v>466</v>
      </c>
      <c r="D8" s="129"/>
      <c r="E8" s="111"/>
      <c r="F8" s="24" t="s">
        <v>36</v>
      </c>
      <c r="G8" s="191"/>
      <c r="H8" s="29"/>
      <c r="I8" s="54"/>
      <c r="J8"/>
    </row>
    <row r="9" spans="1:10" s="133" customFormat="1" ht="24" x14ac:dyDescent="0.2">
      <c r="A9" s="130" t="s">
        <v>345</v>
      </c>
      <c r="B9" s="108" t="s">
        <v>36</v>
      </c>
      <c r="C9" s="108" t="s">
        <v>25</v>
      </c>
      <c r="D9" s="116" t="s">
        <v>165</v>
      </c>
      <c r="E9" s="111" t="s">
        <v>179</v>
      </c>
      <c r="F9" s="24" t="s">
        <v>532</v>
      </c>
      <c r="G9" s="191"/>
      <c r="H9" s="166"/>
    </row>
    <row r="10" spans="1:10" s="133" customFormat="1" ht="300" x14ac:dyDescent="0.2">
      <c r="A10" s="115" t="s">
        <v>346</v>
      </c>
      <c r="B10" s="108" t="s">
        <v>36</v>
      </c>
      <c r="C10" s="107" t="s">
        <v>513</v>
      </c>
      <c r="D10" s="129"/>
      <c r="E10" s="111"/>
      <c r="F10" s="24" t="s">
        <v>650</v>
      </c>
      <c r="G10" s="191"/>
      <c r="H10" s="166"/>
    </row>
    <row r="11" spans="1:10" s="133" customFormat="1" ht="36" x14ac:dyDescent="0.2">
      <c r="A11" s="115" t="s">
        <v>347</v>
      </c>
      <c r="B11" s="108" t="s">
        <v>36</v>
      </c>
      <c r="C11" s="107" t="s">
        <v>253</v>
      </c>
      <c r="D11" s="129"/>
      <c r="E11" s="111"/>
      <c r="F11" s="24" t="s">
        <v>650</v>
      </c>
      <c r="G11" s="191"/>
      <c r="H11" s="166"/>
    </row>
    <row r="12" spans="1:10" s="133" customFormat="1" ht="24" x14ac:dyDescent="0.2">
      <c r="A12" s="130" t="s">
        <v>348</v>
      </c>
      <c r="B12" s="108" t="s">
        <v>36</v>
      </c>
      <c r="C12" s="107" t="s">
        <v>178</v>
      </c>
      <c r="D12" s="129"/>
      <c r="E12" s="111"/>
      <c r="F12" s="24" t="s">
        <v>650</v>
      </c>
      <c r="G12" s="191"/>
      <c r="H12" s="166"/>
      <c r="I12" s="134"/>
    </row>
    <row r="13" spans="1:10" s="132" customFormat="1" ht="60" x14ac:dyDescent="0.2">
      <c r="A13" s="130" t="s">
        <v>349</v>
      </c>
      <c r="B13" s="108" t="s">
        <v>36</v>
      </c>
      <c r="C13" s="108" t="s">
        <v>601</v>
      </c>
      <c r="D13" s="129"/>
      <c r="E13" s="111"/>
      <c r="F13" s="24" t="s">
        <v>607</v>
      </c>
      <c r="G13" s="191"/>
      <c r="H13" s="29"/>
    </row>
    <row r="14" spans="1:10" s="133" customFormat="1" ht="72" x14ac:dyDescent="0.2">
      <c r="A14" s="115" t="s">
        <v>350</v>
      </c>
      <c r="B14" s="108" t="s">
        <v>36</v>
      </c>
      <c r="C14" s="107" t="s">
        <v>629</v>
      </c>
      <c r="D14" s="129"/>
      <c r="E14" s="111"/>
      <c r="F14" s="24" t="s">
        <v>643</v>
      </c>
      <c r="G14" s="191"/>
      <c r="H14" s="166"/>
      <c r="I14" s="33"/>
    </row>
    <row r="15" spans="1:10" s="133" customFormat="1" ht="12" x14ac:dyDescent="0.2">
      <c r="A15" s="115" t="s">
        <v>351</v>
      </c>
      <c r="B15" s="120" t="s">
        <v>36</v>
      </c>
      <c r="C15" s="120" t="s">
        <v>152</v>
      </c>
      <c r="D15" s="129"/>
      <c r="E15" s="157"/>
      <c r="F15" s="148" t="s">
        <v>602</v>
      </c>
      <c r="G15" s="194"/>
      <c r="H15" s="260"/>
    </row>
    <row r="16" spans="1:10" s="133" customFormat="1" ht="12" x14ac:dyDescent="0.2">
      <c r="A16" s="130" t="s">
        <v>352</v>
      </c>
      <c r="B16" s="120" t="s">
        <v>36</v>
      </c>
      <c r="C16" s="120" t="s">
        <v>118</v>
      </c>
      <c r="D16" s="129"/>
      <c r="E16" s="157"/>
      <c r="F16" s="148" t="s">
        <v>602</v>
      </c>
      <c r="G16" s="194"/>
      <c r="H16" s="260"/>
    </row>
    <row r="17" spans="1:10" s="133" customFormat="1" ht="36" x14ac:dyDescent="0.2">
      <c r="A17" s="130" t="s">
        <v>353</v>
      </c>
      <c r="B17" s="120" t="s">
        <v>36</v>
      </c>
      <c r="C17" s="120" t="s">
        <v>192</v>
      </c>
      <c r="D17" s="129"/>
      <c r="E17" s="157"/>
      <c r="F17" s="148" t="s">
        <v>534</v>
      </c>
      <c r="G17" s="194"/>
      <c r="H17" s="260"/>
      <c r="I17" s="134"/>
    </row>
    <row r="18" spans="1:10" s="133" customFormat="1" ht="48" x14ac:dyDescent="0.2">
      <c r="A18" s="376" t="s">
        <v>354</v>
      </c>
      <c r="B18" s="120"/>
      <c r="C18" s="120" t="s">
        <v>642</v>
      </c>
      <c r="D18" s="129"/>
      <c r="E18" s="157"/>
      <c r="F18" s="148" t="s">
        <v>464</v>
      </c>
      <c r="G18" s="194"/>
      <c r="H18" s="260"/>
      <c r="I18" s="134"/>
    </row>
    <row r="19" spans="1:10" x14ac:dyDescent="0.2">
      <c r="A19" s="115" t="s">
        <v>641</v>
      </c>
      <c r="B19" s="120" t="s">
        <v>36</v>
      </c>
      <c r="C19" s="120" t="s">
        <v>98</v>
      </c>
      <c r="D19" s="129"/>
      <c r="E19" s="157"/>
      <c r="F19" s="148" t="s">
        <v>532</v>
      </c>
      <c r="G19" s="194"/>
      <c r="H19" s="260"/>
      <c r="I19" s="87"/>
      <c r="J19"/>
    </row>
    <row r="22" spans="1:10" ht="15" x14ac:dyDescent="0.2">
      <c r="F22" s="312">
        <f>COUNTIF(G5:G19,""&gt;41079)</f>
        <v>0</v>
      </c>
      <c r="G22" s="228" t="e">
        <f>COUNTIF(G5:G19,"&gt;41079")/F25</f>
        <v>#DIV/0!</v>
      </c>
      <c r="H22" s="163" t="s">
        <v>403</v>
      </c>
    </row>
    <row r="23" spans="1:10" ht="15" x14ac:dyDescent="0.2">
      <c r="F23" s="312">
        <f>COUNTIF(G5:G19,"*In Progress*")</f>
        <v>0</v>
      </c>
      <c r="G23" s="228" t="e">
        <f>COUNTIF(G5:G19,"*In Progress*")/F25</f>
        <v>#DIV/0!</v>
      </c>
      <c r="H23" s="164" t="s">
        <v>404</v>
      </c>
    </row>
    <row r="24" spans="1:10" ht="15" x14ac:dyDescent="0.2">
      <c r="F24" s="313"/>
      <c r="G24" s="228"/>
      <c r="H24" s="165"/>
    </row>
    <row r="25" spans="1:10" ht="15" x14ac:dyDescent="0.2">
      <c r="F25" s="312">
        <f>F22+F23</f>
        <v>0</v>
      </c>
      <c r="G25" s="228" t="e">
        <f>G22+G23</f>
        <v>#DIV/0!</v>
      </c>
      <c r="H25" s="165"/>
    </row>
  </sheetData>
  <mergeCells count="9">
    <mergeCell ref="H1:H2"/>
    <mergeCell ref="A3:H3"/>
    <mergeCell ref="A4:H4"/>
    <mergeCell ref="A1:A2"/>
    <mergeCell ref="B1:B2"/>
    <mergeCell ref="C1:C2"/>
    <mergeCell ref="D1:E1"/>
    <mergeCell ref="F1:F2"/>
    <mergeCell ref="G1:G2"/>
  </mergeCells>
  <conditionalFormatting sqref="G5:G19">
    <cfRule type="cellIs" dxfId="21" priority="1" operator="between">
      <formula>40179</formula>
      <formula>46022</formula>
    </cfRule>
    <cfRule type="containsText" dxfId="20" priority="2" operator="containsText" text="*In Progress*">
      <formula>NOT(ISERROR(SEARCH("*In Progress*",G5)))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11"/>
  <sheetViews>
    <sheetView zoomScaleNormal="100" workbookViewId="0">
      <pane ySplit="6" topLeftCell="A7" activePane="bottomLeft" state="frozenSplit"/>
      <selection pane="bottomLeft" activeCell="C11" sqref="C11"/>
    </sheetView>
  </sheetViews>
  <sheetFormatPr defaultRowHeight="12.75" x14ac:dyDescent="0.2"/>
  <cols>
    <col min="1" max="1" width="5.140625" customWidth="1"/>
    <col min="2" max="2" width="11.42578125" customWidth="1"/>
    <col min="3" max="3" width="43.140625" customWidth="1"/>
    <col min="4" max="4" width="15.7109375" bestFit="1" customWidth="1"/>
    <col min="5" max="5" width="16.85546875" customWidth="1"/>
    <col min="6" max="6" width="10.28515625" style="23" customWidth="1"/>
    <col min="7" max="7" width="29" style="196" customWidth="1"/>
    <col min="8" max="8" width="29" customWidth="1"/>
  </cols>
  <sheetData>
    <row r="1" spans="1:9" ht="13.15" customHeight="1" x14ac:dyDescent="0.2">
      <c r="A1" s="474" t="s">
        <v>31</v>
      </c>
      <c r="B1" s="404" t="s">
        <v>565</v>
      </c>
      <c r="C1" s="476" t="s">
        <v>32</v>
      </c>
      <c r="D1" s="471" t="s">
        <v>33</v>
      </c>
      <c r="E1" s="471"/>
      <c r="F1" s="404" t="s">
        <v>160</v>
      </c>
      <c r="G1" s="472" t="s">
        <v>151</v>
      </c>
      <c r="H1" s="469" t="s">
        <v>185</v>
      </c>
    </row>
    <row r="2" spans="1:9" ht="13.5" thickBot="1" x14ac:dyDescent="0.25">
      <c r="A2" s="475"/>
      <c r="B2" s="404"/>
      <c r="C2" s="477"/>
      <c r="D2" s="26" t="s">
        <v>34</v>
      </c>
      <c r="E2" s="26" t="s">
        <v>35</v>
      </c>
      <c r="F2" s="414"/>
      <c r="G2" s="473"/>
      <c r="H2" s="470"/>
    </row>
    <row r="3" spans="1:9" ht="18.75" thickBot="1" x14ac:dyDescent="0.25">
      <c r="A3" s="466" t="s">
        <v>16</v>
      </c>
      <c r="B3" s="467"/>
      <c r="C3" s="467"/>
      <c r="D3" s="467"/>
      <c r="E3" s="467"/>
      <c r="F3" s="467"/>
      <c r="G3" s="467"/>
      <c r="H3" s="468"/>
    </row>
    <row r="4" spans="1:9" ht="13.5" customHeight="1" x14ac:dyDescent="0.2">
      <c r="A4" s="394" t="s">
        <v>585</v>
      </c>
      <c r="B4" s="394"/>
      <c r="C4" s="394"/>
      <c r="D4" s="394"/>
      <c r="E4" s="394"/>
      <c r="F4" s="394"/>
      <c r="G4" s="394"/>
      <c r="H4" s="394"/>
      <c r="I4" s="87"/>
    </row>
    <row r="5" spans="1:9" ht="13.5" customHeight="1" thickBot="1" x14ac:dyDescent="0.25">
      <c r="A5" s="394" t="s">
        <v>603</v>
      </c>
      <c r="B5" s="394"/>
      <c r="C5" s="394"/>
      <c r="D5" s="394"/>
      <c r="E5" s="394"/>
      <c r="F5" s="394"/>
      <c r="G5" s="394"/>
      <c r="H5" s="394"/>
      <c r="I5" s="87"/>
    </row>
    <row r="6" spans="1:9" x14ac:dyDescent="0.2">
      <c r="A6" s="463" t="s">
        <v>187</v>
      </c>
      <c r="B6" s="464"/>
      <c r="C6" s="464"/>
      <c r="D6" s="464"/>
      <c r="E6" s="464"/>
      <c r="F6" s="464"/>
      <c r="G6" s="464"/>
      <c r="H6" s="465"/>
    </row>
    <row r="7" spans="1:9" ht="36" x14ac:dyDescent="0.2">
      <c r="A7" s="18" t="s">
        <v>221</v>
      </c>
      <c r="B7" s="24" t="s">
        <v>566</v>
      </c>
      <c r="C7" s="64" t="s">
        <v>190</v>
      </c>
      <c r="D7" s="52"/>
      <c r="E7" s="61"/>
      <c r="F7" s="314" t="s">
        <v>650</v>
      </c>
      <c r="G7" s="191"/>
      <c r="H7" s="61"/>
    </row>
    <row r="8" spans="1:9" ht="120" x14ac:dyDescent="0.2">
      <c r="A8" s="35" t="s">
        <v>222</v>
      </c>
      <c r="B8" s="24" t="s">
        <v>566</v>
      </c>
      <c r="C8" s="375" t="s">
        <v>638</v>
      </c>
      <c r="D8" s="52"/>
      <c r="E8" s="61"/>
      <c r="F8" s="314" t="s">
        <v>543</v>
      </c>
      <c r="G8" s="195"/>
      <c r="H8" s="61"/>
    </row>
    <row r="9" spans="1:9" ht="36" x14ac:dyDescent="0.2">
      <c r="A9" s="18" t="s">
        <v>223</v>
      </c>
      <c r="B9" s="82" t="s">
        <v>225</v>
      </c>
      <c r="C9" s="30" t="s">
        <v>194</v>
      </c>
      <c r="D9" s="52"/>
      <c r="E9" s="28"/>
      <c r="F9" s="314" t="s">
        <v>650</v>
      </c>
      <c r="G9" s="195"/>
      <c r="H9" s="60"/>
    </row>
    <row r="10" spans="1:9" ht="49.9" customHeight="1" x14ac:dyDescent="0.2">
      <c r="A10" s="35" t="s">
        <v>224</v>
      </c>
      <c r="B10" s="82" t="s">
        <v>602</v>
      </c>
      <c r="C10" s="30" t="s">
        <v>196</v>
      </c>
      <c r="D10" s="52"/>
      <c r="E10" s="28"/>
      <c r="F10" s="314" t="s">
        <v>602</v>
      </c>
      <c r="G10" s="195"/>
      <c r="H10" s="28"/>
    </row>
    <row r="11" spans="1:9" s="51" customFormat="1" ht="252" x14ac:dyDescent="0.2">
      <c r="A11" s="18" t="s">
        <v>1</v>
      </c>
      <c r="B11" s="24" t="s">
        <v>604</v>
      </c>
      <c r="C11" s="17" t="s">
        <v>595</v>
      </c>
      <c r="D11" s="52"/>
      <c r="E11" s="170"/>
      <c r="F11" s="314" t="s">
        <v>602</v>
      </c>
      <c r="G11" s="195"/>
      <c r="H11" s="170"/>
    </row>
  </sheetData>
  <mergeCells count="11">
    <mergeCell ref="B1:B2"/>
    <mergeCell ref="A4:H4"/>
    <mergeCell ref="A5:H5"/>
    <mergeCell ref="A6:H6"/>
    <mergeCell ref="A3:H3"/>
    <mergeCell ref="H1:H2"/>
    <mergeCell ref="D1:E1"/>
    <mergeCell ref="G1:G2"/>
    <mergeCell ref="A1:A2"/>
    <mergeCell ref="C1:C2"/>
    <mergeCell ref="F1:F2"/>
  </mergeCells>
  <phoneticPr fontId="9" type="noConversion"/>
  <conditionalFormatting sqref="G7:G11">
    <cfRule type="cellIs" dxfId="19" priority="3" operator="between">
      <formula>40179</formula>
      <formula>46022</formula>
    </cfRule>
    <cfRule type="containsText" dxfId="18" priority="4" operator="containsText" text="*In Progress*">
      <formula>NOT(ISERROR(SEARCH("*In Progress*",G7)))</formula>
    </cfRule>
  </conditionalFormatting>
  <pageMargins left="0.75" right="0.75" top="1" bottom="1" header="0.5" footer="0.5"/>
  <pageSetup fitToHeight="6" orientation="landscape" r:id="rId1"/>
  <headerFooter alignWithMargins="0">
    <oddHeader>&amp;C&amp;F
Co-Location Production Pre-Move Monday</oddHeader>
    <oddFooter>&amp;LCo-Location Pre-Move Monday&amp;C&amp;D&amp;RPage &amp;P of &amp;N Pages</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I46"/>
  <sheetViews>
    <sheetView zoomScale="95" zoomScaleNormal="95" workbookViewId="0">
      <selection activeCell="F7" sqref="F7"/>
    </sheetView>
  </sheetViews>
  <sheetFormatPr defaultRowHeight="12.75" x14ac:dyDescent="0.2"/>
  <cols>
    <col min="1" max="1" width="6" customWidth="1"/>
    <col min="2" max="2" width="11.42578125" customWidth="1"/>
    <col min="3" max="3" width="43.140625" customWidth="1"/>
    <col min="4" max="4" width="15.7109375" bestFit="1" customWidth="1"/>
    <col min="5" max="5" width="16.85546875" customWidth="1"/>
    <col min="6" max="6" width="10.28515625" style="23" customWidth="1"/>
    <col min="7" max="7" width="29" style="196" customWidth="1"/>
    <col min="8" max="8" width="29" customWidth="1"/>
  </cols>
  <sheetData>
    <row r="1" spans="1:9" ht="12.75" customHeight="1" x14ac:dyDescent="0.2">
      <c r="A1" s="474" t="s">
        <v>31</v>
      </c>
      <c r="B1" s="404" t="s">
        <v>567</v>
      </c>
      <c r="C1" s="476" t="s">
        <v>32</v>
      </c>
      <c r="D1" s="471" t="s">
        <v>33</v>
      </c>
      <c r="E1" s="471"/>
      <c r="F1" s="404" t="s">
        <v>160</v>
      </c>
      <c r="G1" s="405" t="s">
        <v>151</v>
      </c>
      <c r="H1" s="469" t="s">
        <v>185</v>
      </c>
    </row>
    <row r="2" spans="1:9" ht="13.15" customHeight="1" thickBot="1" x14ac:dyDescent="0.25">
      <c r="A2" s="475"/>
      <c r="B2" s="404"/>
      <c r="C2" s="477"/>
      <c r="D2" s="26" t="s">
        <v>34</v>
      </c>
      <c r="E2" s="26" t="s">
        <v>35</v>
      </c>
      <c r="F2" s="414"/>
      <c r="G2" s="405"/>
      <c r="H2" s="482"/>
    </row>
    <row r="3" spans="1:9" ht="18" x14ac:dyDescent="0.2">
      <c r="A3" s="479" t="s">
        <v>17</v>
      </c>
      <c r="B3" s="480"/>
      <c r="C3" s="480"/>
      <c r="D3" s="480"/>
      <c r="E3" s="480"/>
      <c r="F3" s="480"/>
      <c r="G3" s="480"/>
      <c r="H3" s="481"/>
    </row>
    <row r="4" spans="1:9" ht="13.5" customHeight="1" x14ac:dyDescent="0.2">
      <c r="A4" s="394" t="s">
        <v>585</v>
      </c>
      <c r="B4" s="394"/>
      <c r="C4" s="394"/>
      <c r="D4" s="394"/>
      <c r="E4" s="394"/>
      <c r="F4" s="394"/>
      <c r="G4" s="394"/>
      <c r="H4" s="394"/>
      <c r="I4" s="87"/>
    </row>
    <row r="5" spans="1:9" ht="13.5" customHeight="1" thickBot="1" x14ac:dyDescent="0.25">
      <c r="A5" s="394" t="s">
        <v>603</v>
      </c>
      <c r="B5" s="394"/>
      <c r="C5" s="394"/>
      <c r="D5" s="394"/>
      <c r="E5" s="394"/>
      <c r="F5" s="394"/>
      <c r="G5" s="394"/>
      <c r="H5" s="394"/>
      <c r="I5" s="87"/>
    </row>
    <row r="6" spans="1:9" x14ac:dyDescent="0.2">
      <c r="A6" s="463" t="s">
        <v>30</v>
      </c>
      <c r="B6" s="464"/>
      <c r="C6" s="464"/>
      <c r="D6" s="464"/>
      <c r="E6" s="464"/>
      <c r="F6" s="464"/>
      <c r="G6" s="464"/>
      <c r="H6" s="478"/>
    </row>
    <row r="7" spans="1:9" ht="36" x14ac:dyDescent="0.2">
      <c r="A7" s="18" t="s">
        <v>15</v>
      </c>
      <c r="B7" s="24" t="s">
        <v>568</v>
      </c>
      <c r="C7" s="138" t="s">
        <v>74</v>
      </c>
      <c r="D7" s="52"/>
      <c r="E7" s="92"/>
      <c r="F7" s="24" t="s">
        <v>650</v>
      </c>
      <c r="G7" s="191"/>
      <c r="H7" s="79"/>
    </row>
    <row r="8" spans="1:9" s="70" customFormat="1" ht="108" x14ac:dyDescent="0.2">
      <c r="A8" s="56" t="s">
        <v>399</v>
      </c>
      <c r="B8" s="24" t="s">
        <v>605</v>
      </c>
      <c r="C8" s="24" t="s">
        <v>569</v>
      </c>
      <c r="D8" s="52"/>
      <c r="E8" s="170"/>
      <c r="F8" s="278" t="s">
        <v>536</v>
      </c>
      <c r="G8" s="195"/>
      <c r="H8" s="170"/>
    </row>
    <row r="9" spans="1:9" x14ac:dyDescent="0.2">
      <c r="A9" s="58"/>
      <c r="D9" s="70"/>
    </row>
    <row r="10" spans="1:9" x14ac:dyDescent="0.2">
      <c r="A10" s="58"/>
    </row>
    <row r="11" spans="1:9" x14ac:dyDescent="0.2">
      <c r="A11" s="58"/>
    </row>
    <row r="12" spans="1:9" x14ac:dyDescent="0.2">
      <c r="A12" s="58"/>
    </row>
    <row r="13" spans="1:9" x14ac:dyDescent="0.2">
      <c r="A13" s="58"/>
    </row>
    <row r="14" spans="1:9" ht="12" customHeight="1" x14ac:dyDescent="0.2">
      <c r="A14" s="58"/>
    </row>
    <row r="15" spans="1:9" x14ac:dyDescent="0.2">
      <c r="A15" s="58"/>
    </row>
    <row r="16" spans="1:9" x14ac:dyDescent="0.2">
      <c r="A16" s="58"/>
    </row>
    <row r="17" spans="1:1" x14ac:dyDescent="0.2">
      <c r="A17" s="58"/>
    </row>
    <row r="18" spans="1:1" ht="12" customHeight="1" x14ac:dyDescent="0.2">
      <c r="A18" s="58"/>
    </row>
    <row r="19" spans="1:1" x14ac:dyDescent="0.2">
      <c r="A19" s="58"/>
    </row>
    <row r="20" spans="1:1" ht="14.25" customHeight="1" x14ac:dyDescent="0.2">
      <c r="A20" s="58"/>
    </row>
    <row r="21" spans="1:1" x14ac:dyDescent="0.2">
      <c r="A21" s="58"/>
    </row>
    <row r="22" spans="1:1" x14ac:dyDescent="0.2">
      <c r="A22" s="58"/>
    </row>
    <row r="23" spans="1:1" x14ac:dyDescent="0.2">
      <c r="A23" s="58"/>
    </row>
    <row r="24" spans="1:1" x14ac:dyDescent="0.2">
      <c r="A24" s="58"/>
    </row>
    <row r="25" spans="1:1" x14ac:dyDescent="0.2">
      <c r="A25" s="58"/>
    </row>
    <row r="26" spans="1:1" x14ac:dyDescent="0.2">
      <c r="A26" s="58"/>
    </row>
    <row r="27" spans="1:1" x14ac:dyDescent="0.2">
      <c r="A27" s="58"/>
    </row>
    <row r="28" spans="1:1" x14ac:dyDescent="0.2">
      <c r="A28" s="58"/>
    </row>
    <row r="29" spans="1:1" x14ac:dyDescent="0.2">
      <c r="A29" s="58"/>
    </row>
    <row r="30" spans="1:1" x14ac:dyDescent="0.2">
      <c r="A30" s="58"/>
    </row>
    <row r="31" spans="1:1" x14ac:dyDescent="0.2">
      <c r="A31" s="58"/>
    </row>
    <row r="32" spans="1:1" x14ac:dyDescent="0.2">
      <c r="A32" s="58"/>
    </row>
    <row r="33" spans="1:1" x14ac:dyDescent="0.2">
      <c r="A33" s="58"/>
    </row>
    <row r="34" spans="1:1" x14ac:dyDescent="0.2">
      <c r="A34" s="58"/>
    </row>
    <row r="35" spans="1:1" x14ac:dyDescent="0.2">
      <c r="A35" s="58"/>
    </row>
    <row r="36" spans="1:1" x14ac:dyDescent="0.2">
      <c r="A36" s="58"/>
    </row>
    <row r="37" spans="1:1" x14ac:dyDescent="0.2">
      <c r="A37" s="58"/>
    </row>
    <row r="38" spans="1:1" x14ac:dyDescent="0.2">
      <c r="A38" s="58"/>
    </row>
    <row r="39" spans="1:1" x14ac:dyDescent="0.2">
      <c r="A39" s="58"/>
    </row>
    <row r="40" spans="1:1" x14ac:dyDescent="0.2">
      <c r="A40" s="58"/>
    </row>
    <row r="41" spans="1:1" x14ac:dyDescent="0.2">
      <c r="A41" s="58"/>
    </row>
    <row r="42" spans="1:1" x14ac:dyDescent="0.2">
      <c r="A42" s="58"/>
    </row>
    <row r="43" spans="1:1" x14ac:dyDescent="0.2">
      <c r="A43" s="58"/>
    </row>
    <row r="44" spans="1:1" x14ac:dyDescent="0.2">
      <c r="A44" s="58"/>
    </row>
    <row r="45" spans="1:1" x14ac:dyDescent="0.2">
      <c r="A45" s="58"/>
    </row>
    <row r="46" spans="1:1" x14ac:dyDescent="0.2">
      <c r="A46" s="58"/>
    </row>
  </sheetData>
  <mergeCells count="11">
    <mergeCell ref="A6:H6"/>
    <mergeCell ref="A3:H3"/>
    <mergeCell ref="H1:H2"/>
    <mergeCell ref="G1:G2"/>
    <mergeCell ref="C1:C2"/>
    <mergeCell ref="D1:E1"/>
    <mergeCell ref="A1:A2"/>
    <mergeCell ref="B1:B2"/>
    <mergeCell ref="A4:H4"/>
    <mergeCell ref="A5:H5"/>
    <mergeCell ref="F1:F2"/>
  </mergeCells>
  <phoneticPr fontId="9" type="noConversion"/>
  <conditionalFormatting sqref="G7:G8">
    <cfRule type="cellIs" dxfId="17" priority="1" operator="between">
      <formula>40179</formula>
      <formula>46022</formula>
    </cfRule>
    <cfRule type="containsText" dxfId="16" priority="2" operator="containsText" text="*In Progress*">
      <formula>NOT(ISERROR(SEARCH("*In Progress*",G7)))</formula>
    </cfRule>
  </conditionalFormatting>
  <printOptions horizontalCentered="1"/>
  <pageMargins left="0.33" right="0.27" top="0.75" bottom="0.56000000000000005" header="0" footer="0.25"/>
  <pageSetup fitToHeight="0" orientation="landscape" horizontalDpi="300" verticalDpi="300" r:id="rId1"/>
  <headerFooter alignWithMargins="0">
    <oddHeader>&amp;C&amp;F
Co-Location Tuesday Tasks</oddHeader>
    <oddFooter>&amp;LCo-Location Tuesday Tasks&amp;C&amp;D&amp;RPage &amp;P of &amp;N Pages</oddFooter>
  </headerFooter>
  <rowBreaks count="1" manualBreakCount="1">
    <brk id="14" max="10"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I8"/>
  <sheetViews>
    <sheetView zoomScale="90" zoomScaleNormal="90" workbookViewId="0">
      <selection activeCell="C8" sqref="C8"/>
    </sheetView>
  </sheetViews>
  <sheetFormatPr defaultRowHeight="12.75" x14ac:dyDescent="0.2"/>
  <cols>
    <col min="1" max="1" width="5.140625" customWidth="1"/>
    <col min="2" max="2" width="11.42578125" customWidth="1"/>
    <col min="3" max="3" width="43.140625" customWidth="1"/>
    <col min="4" max="5" width="16.85546875" customWidth="1"/>
    <col min="6" max="6" width="10.28515625" style="23" customWidth="1"/>
    <col min="7" max="7" width="29" style="196" customWidth="1"/>
    <col min="8" max="8" width="29" customWidth="1"/>
  </cols>
  <sheetData>
    <row r="1" spans="1:9" ht="13.15" customHeight="1" x14ac:dyDescent="0.2">
      <c r="A1" s="474" t="s">
        <v>31</v>
      </c>
      <c r="B1" s="404" t="s">
        <v>567</v>
      </c>
      <c r="C1" s="476" t="s">
        <v>32</v>
      </c>
      <c r="D1" s="471" t="s">
        <v>33</v>
      </c>
      <c r="E1" s="471"/>
      <c r="F1" s="404" t="s">
        <v>160</v>
      </c>
      <c r="G1" s="405" t="s">
        <v>151</v>
      </c>
      <c r="H1" s="469" t="s">
        <v>185</v>
      </c>
    </row>
    <row r="2" spans="1:9" ht="13.5" thickBot="1" x14ac:dyDescent="0.25">
      <c r="A2" s="475"/>
      <c r="B2" s="404"/>
      <c r="C2" s="477"/>
      <c r="D2" s="26" t="s">
        <v>34</v>
      </c>
      <c r="E2" s="26" t="s">
        <v>35</v>
      </c>
      <c r="F2" s="414"/>
      <c r="G2" s="405"/>
      <c r="H2" s="470"/>
    </row>
    <row r="3" spans="1:9" ht="18" x14ac:dyDescent="0.2">
      <c r="A3" s="479" t="s">
        <v>18</v>
      </c>
      <c r="B3" s="480"/>
      <c r="C3" s="480"/>
      <c r="D3" s="480"/>
      <c r="E3" s="480"/>
      <c r="F3" s="480"/>
      <c r="G3" s="480"/>
      <c r="H3" s="483"/>
    </row>
    <row r="4" spans="1:9" ht="13.5" customHeight="1" x14ac:dyDescent="0.2">
      <c r="A4" s="394" t="s">
        <v>585</v>
      </c>
      <c r="B4" s="394"/>
      <c r="C4" s="394"/>
      <c r="D4" s="394"/>
      <c r="E4" s="394"/>
      <c r="F4" s="394"/>
      <c r="G4" s="394"/>
      <c r="H4" s="394"/>
      <c r="I4" s="87"/>
    </row>
    <row r="5" spans="1:9" ht="13.5" customHeight="1" thickBot="1" x14ac:dyDescent="0.25">
      <c r="A5" s="394" t="s">
        <v>603</v>
      </c>
      <c r="B5" s="394"/>
      <c r="C5" s="394"/>
      <c r="D5" s="394"/>
      <c r="E5" s="394"/>
      <c r="F5" s="394"/>
      <c r="G5" s="394"/>
      <c r="H5" s="394"/>
      <c r="I5" s="87"/>
    </row>
    <row r="6" spans="1:9" x14ac:dyDescent="0.2">
      <c r="A6" s="463" t="s">
        <v>20</v>
      </c>
      <c r="B6" s="464"/>
      <c r="C6" s="464"/>
      <c r="D6" s="464"/>
      <c r="E6" s="464"/>
      <c r="F6" s="464"/>
      <c r="G6" s="464"/>
      <c r="H6" s="478"/>
    </row>
    <row r="7" spans="1:9" ht="36" x14ac:dyDescent="0.2">
      <c r="A7" s="18" t="s">
        <v>226</v>
      </c>
      <c r="B7" s="24" t="s">
        <v>566</v>
      </c>
      <c r="C7" s="344" t="s">
        <v>573</v>
      </c>
      <c r="D7" s="52"/>
      <c r="E7" s="25"/>
      <c r="F7" s="24" t="s">
        <v>650</v>
      </c>
      <c r="G7" s="191"/>
      <c r="H7" s="79"/>
    </row>
    <row r="8" spans="1:9" ht="34.9" customHeight="1" x14ac:dyDescent="0.2">
      <c r="A8" s="18" t="s">
        <v>227</v>
      </c>
      <c r="B8" s="24" t="s">
        <v>0</v>
      </c>
      <c r="C8" s="17" t="s">
        <v>172</v>
      </c>
      <c r="D8" s="52"/>
      <c r="E8" s="25"/>
      <c r="F8" s="24" t="s">
        <v>606</v>
      </c>
      <c r="G8" s="195"/>
      <c r="H8" s="61"/>
    </row>
  </sheetData>
  <mergeCells count="11">
    <mergeCell ref="A6:H6"/>
    <mergeCell ref="H1:H2"/>
    <mergeCell ref="D1:E1"/>
    <mergeCell ref="G1:G2"/>
    <mergeCell ref="A1:A2"/>
    <mergeCell ref="B1:B2"/>
    <mergeCell ref="C1:C2"/>
    <mergeCell ref="A3:H3"/>
    <mergeCell ref="A4:H4"/>
    <mergeCell ref="A5:H5"/>
    <mergeCell ref="F1:F2"/>
  </mergeCells>
  <phoneticPr fontId="9" type="noConversion"/>
  <conditionalFormatting sqref="G7:G8">
    <cfRule type="cellIs" dxfId="15" priority="1" operator="between">
      <formula>40179</formula>
      <formula>46022</formula>
    </cfRule>
    <cfRule type="containsText" dxfId="14" priority="2" operator="containsText" text="*In Progress*">
      <formula>NOT(ISERROR(SEARCH("*In Progress*",G7)))</formula>
    </cfRule>
  </conditionalFormatting>
  <pageMargins left="0.75" right="0.75" top="1" bottom="1" header="0.5" footer="0.5"/>
  <pageSetup fitToHeight="4" orientation="landscape" r:id="rId1"/>
  <headerFooter alignWithMargins="0">
    <oddHeader>&amp;C&amp;F
Co-Location Wednesday Tasks</oddHeader>
    <oddFooter>&amp;LCo-Location Wednesday Tasks&amp;C&amp;D&amp;RPage &amp;P of &amp;N Pages</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5:L7"/>
  <sheetViews>
    <sheetView zoomScale="90" zoomScaleNormal="90" workbookViewId="0">
      <selection activeCell="M105" sqref="M105"/>
    </sheetView>
  </sheetViews>
  <sheetFormatPr defaultColWidth="9.140625" defaultRowHeight="12.75" x14ac:dyDescent="0.2"/>
  <cols>
    <col min="1" max="1" width="9.140625" style="73"/>
    <col min="2" max="2" width="9.140625" style="71"/>
    <col min="4" max="6" width="9.140625" style="71"/>
    <col min="7" max="7" width="9.140625" style="72"/>
    <col min="8" max="9" width="9.140625" style="71"/>
    <col min="10" max="12" width="9.140625" style="81"/>
    <col min="13" max="16384" width="9.140625" style="71"/>
  </cols>
  <sheetData>
    <row r="5" spans="6:12" ht="13.5" thickBot="1" x14ac:dyDescent="0.25"/>
    <row r="6" spans="6:12" x14ac:dyDescent="0.2">
      <c r="F6" s="484" t="s">
        <v>214</v>
      </c>
      <c r="G6" s="485"/>
      <c r="H6" s="485"/>
      <c r="I6" s="485"/>
      <c r="J6" s="485"/>
      <c r="K6" s="485"/>
      <c r="L6" s="483"/>
    </row>
    <row r="7" spans="6:12" ht="13.5" thickBot="1" x14ac:dyDescent="0.25">
      <c r="F7" s="486"/>
      <c r="G7" s="487"/>
      <c r="H7" s="487"/>
      <c r="I7" s="487"/>
      <c r="J7" s="487"/>
      <c r="K7" s="487"/>
      <c r="L7" s="488"/>
    </row>
  </sheetData>
  <customSheetViews>
    <customSheetView guid="{7FBF45D6-F685-4C77-B0BA-F72AA644D01D}" fitToPage="1" showRuler="0">
      <pane ySplit="4" topLeftCell="A7" activePane="bottomLeft" state="frozen"/>
      <selection pane="bottomLeft" activeCell="G8" sqref="G8"/>
      <pageMargins left="0.75" right="0.75" top="1" bottom="1" header="0.5" footer="0.5"/>
      <pageSetup scale="97" fitToHeight="0" orientation="landscape" horizontalDpi="300" verticalDpi="300" r:id="rId1"/>
      <headerFooter alignWithMargins="0">
        <oddHeader>&amp;C&amp;F
DSM-to-Cache Thursday Prior Activities</oddHeader>
        <oddFooter>&amp;LDSM-to-Cache Thursday Prior Activities - &amp;A&amp;C&amp;D&amp;RPage &amp;P of &amp;N Pages</oddFooter>
      </headerFooter>
    </customSheetView>
    <customSheetView guid="{AC2BCB63-8807-499F-9157-FFFCFF89CB73}" showPageBreaks="1" fitToPage="1" printArea="1" showRuler="0">
      <pane ySplit="4" topLeftCell="A7" activePane="bottomLeft" state="frozen"/>
      <selection pane="bottomLeft" activeCell="G8" sqref="G8"/>
      <pageMargins left="0.75" right="0.75" top="1" bottom="1" header="0.5" footer="0.5"/>
      <pageSetup scale="97" fitToHeight="0" orientation="landscape" horizontalDpi="300" verticalDpi="300" r:id="rId2"/>
      <headerFooter alignWithMargins="0">
        <oddHeader>&amp;C&amp;F
DSM-to-Cache Thursday Prior Activities</oddHeader>
        <oddFooter>&amp;LDSM-to-Cache Thursday Prior Activities - &amp;A&amp;C&amp;D&amp;RPage &amp;P of &amp;N Pages</oddFooter>
      </headerFooter>
    </customSheetView>
  </customSheetViews>
  <mergeCells count="1">
    <mergeCell ref="F6:L7"/>
  </mergeCells>
  <phoneticPr fontId="9" type="noConversion"/>
  <pageMargins left="0.75" right="0.75" top="1" bottom="1" header="0.5" footer="0.5"/>
  <pageSetup fitToHeight="0" orientation="landscape" horizontalDpi="300" verticalDpi="300" r:id="rId3"/>
  <headerFooter alignWithMargins="0">
    <oddHeader>&amp;C&amp;F
Co-Location Thursday Tasks</oddHeader>
    <oddFooter>&amp;LCo-Location Thursday Tasks&amp;C&amp;D&amp;RPage &amp;P of &amp;N Pages</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L88"/>
  <sheetViews>
    <sheetView zoomScale="110" zoomScaleNormal="110" workbookViewId="0">
      <pane ySplit="6" topLeftCell="A16" activePane="bottomLeft" state="frozen"/>
      <selection pane="bottomLeft" activeCell="D12" sqref="D12"/>
    </sheetView>
  </sheetViews>
  <sheetFormatPr defaultRowHeight="12.75" x14ac:dyDescent="0.2"/>
  <cols>
    <col min="1" max="1" width="6.140625" customWidth="1"/>
    <col min="2" max="2" width="11.42578125" customWidth="1"/>
    <col min="3" max="3" width="43.28515625" customWidth="1"/>
    <col min="4" max="4" width="15.7109375" bestFit="1" customWidth="1"/>
    <col min="5" max="5" width="17" customWidth="1"/>
    <col min="6" max="6" width="10.28515625" style="371" customWidth="1"/>
    <col min="7" max="7" width="29" style="196" customWidth="1"/>
    <col min="8" max="8" width="29" style="28" customWidth="1"/>
    <col min="9" max="9" width="19.28515625" customWidth="1"/>
  </cols>
  <sheetData>
    <row r="1" spans="1:12" x14ac:dyDescent="0.2">
      <c r="A1" s="474" t="s">
        <v>31</v>
      </c>
      <c r="B1" s="404" t="s">
        <v>567</v>
      </c>
      <c r="C1" s="476" t="s">
        <v>32</v>
      </c>
      <c r="D1" s="471" t="s">
        <v>33</v>
      </c>
      <c r="E1" s="471"/>
      <c r="F1" s="404" t="s">
        <v>160</v>
      </c>
      <c r="G1" s="491" t="s">
        <v>151</v>
      </c>
      <c r="H1" s="389" t="s">
        <v>185</v>
      </c>
    </row>
    <row r="2" spans="1:12" ht="13.5" thickBot="1" x14ac:dyDescent="0.25">
      <c r="A2" s="475"/>
      <c r="B2" s="404"/>
      <c r="C2" s="477"/>
      <c r="D2" s="26" t="s">
        <v>34</v>
      </c>
      <c r="E2" s="26" t="s">
        <v>35</v>
      </c>
      <c r="F2" s="414"/>
      <c r="G2" s="491"/>
      <c r="H2" s="389"/>
    </row>
    <row r="3" spans="1:12" ht="18" x14ac:dyDescent="0.2">
      <c r="A3" s="479" t="s">
        <v>19</v>
      </c>
      <c r="B3" s="480"/>
      <c r="C3" s="480"/>
      <c r="D3" s="480"/>
      <c r="E3" s="480"/>
      <c r="F3" s="480"/>
      <c r="G3" s="480"/>
      <c r="H3" s="485"/>
      <c r="I3" s="34"/>
      <c r="J3" s="34"/>
      <c r="K3" s="34"/>
      <c r="L3" s="34"/>
    </row>
    <row r="4" spans="1:12" x14ac:dyDescent="0.2">
      <c r="A4" s="394" t="s">
        <v>585</v>
      </c>
      <c r="B4" s="394"/>
      <c r="C4" s="394"/>
      <c r="D4" s="394"/>
      <c r="E4" s="394"/>
      <c r="F4" s="394"/>
      <c r="G4" s="394"/>
      <c r="H4" s="492"/>
      <c r="I4" s="34"/>
      <c r="J4" s="34"/>
      <c r="K4" s="34"/>
      <c r="L4" s="34"/>
    </row>
    <row r="5" spans="1:12" ht="13.5" thickBot="1" x14ac:dyDescent="0.25">
      <c r="A5" s="394" t="s">
        <v>603</v>
      </c>
      <c r="B5" s="394"/>
      <c r="C5" s="394"/>
      <c r="D5" s="394"/>
      <c r="E5" s="394"/>
      <c r="F5" s="394"/>
      <c r="G5" s="394"/>
      <c r="H5" s="492"/>
      <c r="I5" s="34"/>
      <c r="J5" s="34"/>
      <c r="K5" s="34"/>
      <c r="L5" s="34"/>
    </row>
    <row r="6" spans="1:12" ht="15" x14ac:dyDescent="0.2">
      <c r="A6" s="489" t="s">
        <v>121</v>
      </c>
      <c r="B6" s="490"/>
      <c r="C6" s="490"/>
      <c r="D6" s="490"/>
      <c r="E6" s="490"/>
      <c r="F6" s="490"/>
      <c r="G6" s="490"/>
      <c r="H6" s="490"/>
      <c r="I6" s="34"/>
      <c r="J6" s="34"/>
      <c r="K6" s="34"/>
      <c r="L6" s="34"/>
    </row>
    <row r="7" spans="1:12" ht="24" x14ac:dyDescent="0.2">
      <c r="A7" s="18" t="s">
        <v>356</v>
      </c>
      <c r="B7" s="24" t="s">
        <v>566</v>
      </c>
      <c r="C7" s="17" t="s">
        <v>357</v>
      </c>
      <c r="D7" s="52"/>
      <c r="E7" s="25"/>
      <c r="F7" s="301" t="s">
        <v>532</v>
      </c>
      <c r="G7" s="202"/>
      <c r="H7" s="99"/>
      <c r="I7" s="34"/>
      <c r="J7" s="34"/>
      <c r="K7" s="34"/>
      <c r="L7" s="34"/>
    </row>
    <row r="8" spans="1:12" ht="36" x14ac:dyDescent="0.2">
      <c r="A8" s="18" t="s">
        <v>228</v>
      </c>
      <c r="B8" s="24" t="s">
        <v>566</v>
      </c>
      <c r="C8" s="17" t="s">
        <v>591</v>
      </c>
      <c r="D8" s="52"/>
      <c r="E8" s="25"/>
      <c r="F8" s="301" t="s">
        <v>650</v>
      </c>
      <c r="G8" s="203"/>
      <c r="H8" s="99"/>
      <c r="I8" s="34"/>
      <c r="J8" s="34"/>
      <c r="K8" s="34"/>
      <c r="L8" s="34"/>
    </row>
    <row r="9" spans="1:12" ht="36" x14ac:dyDescent="0.2">
      <c r="A9" s="18" t="s">
        <v>229</v>
      </c>
      <c r="B9" s="24" t="s">
        <v>566</v>
      </c>
      <c r="C9" s="17" t="s">
        <v>470</v>
      </c>
      <c r="D9" s="52"/>
      <c r="E9" s="25"/>
      <c r="F9" s="301" t="s">
        <v>359</v>
      </c>
      <c r="G9" s="203"/>
      <c r="H9" s="96"/>
      <c r="I9" s="34"/>
      <c r="J9" s="34"/>
      <c r="K9" s="34"/>
      <c r="L9" s="34"/>
    </row>
    <row r="10" spans="1:12" s="70" customFormat="1" ht="146.25" x14ac:dyDescent="0.2">
      <c r="A10" s="18" t="s">
        <v>445</v>
      </c>
      <c r="B10" s="148" t="s">
        <v>0</v>
      </c>
      <c r="C10" s="149" t="s">
        <v>385</v>
      </c>
      <c r="D10" s="80"/>
      <c r="E10" s="25"/>
      <c r="F10" s="308" t="s">
        <v>532</v>
      </c>
      <c r="G10" s="204"/>
      <c r="H10" s="100" t="s">
        <v>333</v>
      </c>
      <c r="I10" s="51"/>
      <c r="J10" s="51"/>
      <c r="K10" s="51"/>
      <c r="L10" s="51"/>
    </row>
    <row r="11" spans="1:12" ht="144" x14ac:dyDescent="0.2">
      <c r="A11" s="18" t="s">
        <v>446</v>
      </c>
      <c r="B11" s="24" t="s">
        <v>553</v>
      </c>
      <c r="C11" s="17" t="s">
        <v>574</v>
      </c>
      <c r="D11" s="144"/>
      <c r="E11" s="39"/>
      <c r="F11" s="301" t="s">
        <v>650</v>
      </c>
      <c r="G11" s="204"/>
      <c r="H11" s="108" t="s">
        <v>209</v>
      </c>
      <c r="I11" s="34"/>
      <c r="J11" s="34"/>
      <c r="K11" s="34"/>
      <c r="L11" s="34"/>
    </row>
    <row r="12" spans="1:12" s="70" customFormat="1" ht="132" x14ac:dyDescent="0.2">
      <c r="A12" s="18" t="s">
        <v>73</v>
      </c>
      <c r="B12" s="24" t="s">
        <v>0</v>
      </c>
      <c r="C12" s="17" t="s">
        <v>396</v>
      </c>
      <c r="D12" s="80"/>
      <c r="E12" s="89"/>
      <c r="F12" s="308" t="s">
        <v>630</v>
      </c>
      <c r="G12" s="204"/>
      <c r="H12" s="96"/>
      <c r="I12" s="57"/>
      <c r="J12" s="51"/>
      <c r="K12" s="51"/>
      <c r="L12" s="51"/>
    </row>
    <row r="13" spans="1:12" ht="96" x14ac:dyDescent="0.2">
      <c r="A13" s="18" t="s">
        <v>230</v>
      </c>
      <c r="B13" s="24" t="s">
        <v>607</v>
      </c>
      <c r="C13" s="17" t="s">
        <v>476</v>
      </c>
      <c r="D13" s="52"/>
      <c r="E13" s="38"/>
      <c r="F13" s="301" t="s">
        <v>534</v>
      </c>
      <c r="G13" s="204"/>
      <c r="H13" s="96"/>
      <c r="I13" s="34"/>
      <c r="J13" s="34"/>
      <c r="K13" s="34"/>
      <c r="L13" s="34"/>
    </row>
    <row r="14" spans="1:12" s="70" customFormat="1" ht="24" x14ac:dyDescent="0.2">
      <c r="A14" s="18" t="s">
        <v>231</v>
      </c>
      <c r="B14" s="24" t="s">
        <v>570</v>
      </c>
      <c r="C14" s="17" t="s">
        <v>575</v>
      </c>
      <c r="D14" s="80"/>
      <c r="E14" s="169"/>
      <c r="F14" s="301" t="s">
        <v>532</v>
      </c>
      <c r="G14" s="204"/>
      <c r="H14" s="96" t="s">
        <v>245</v>
      </c>
      <c r="I14" s="51"/>
      <c r="J14" s="51"/>
      <c r="K14" s="51"/>
      <c r="L14" s="51"/>
    </row>
    <row r="15" spans="1:12" ht="71.45" customHeight="1" x14ac:dyDescent="0.2">
      <c r="A15" s="18" t="s">
        <v>27</v>
      </c>
      <c r="B15" s="24" t="s">
        <v>553</v>
      </c>
      <c r="C15" s="17" t="s">
        <v>215</v>
      </c>
      <c r="D15" s="80"/>
      <c r="E15" s="25"/>
      <c r="F15" s="301" t="s">
        <v>532</v>
      </c>
      <c r="G15" s="204"/>
      <c r="H15" s="100"/>
      <c r="I15" s="57"/>
      <c r="J15" s="34"/>
      <c r="K15" s="34"/>
      <c r="L15" s="34"/>
    </row>
    <row r="16" spans="1:12" s="70" customFormat="1" ht="24" x14ac:dyDescent="0.2">
      <c r="A16" s="18" t="s">
        <v>28</v>
      </c>
      <c r="B16" s="24" t="s">
        <v>608</v>
      </c>
      <c r="C16" s="17" t="s">
        <v>406</v>
      </c>
      <c r="D16" s="80"/>
      <c r="E16" s="170"/>
      <c r="F16" s="308" t="s">
        <v>647</v>
      </c>
      <c r="G16" s="204"/>
      <c r="H16" s="96"/>
      <c r="I16" s="51"/>
      <c r="J16" s="51"/>
      <c r="K16" s="51"/>
      <c r="L16" s="51"/>
    </row>
    <row r="17" spans="1:12" ht="36" x14ac:dyDescent="0.2">
      <c r="A17" s="18" t="s">
        <v>71</v>
      </c>
      <c r="B17" s="24" t="s">
        <v>609</v>
      </c>
      <c r="C17" s="17" t="s">
        <v>195</v>
      </c>
      <c r="D17" s="80"/>
      <c r="E17" s="42"/>
      <c r="F17" s="301" t="s">
        <v>532</v>
      </c>
      <c r="G17" s="204"/>
      <c r="H17" s="96" t="s">
        <v>191</v>
      </c>
      <c r="I17" s="34"/>
      <c r="J17" s="34"/>
      <c r="K17" s="34"/>
      <c r="L17" s="34"/>
    </row>
    <row r="18" spans="1:12" ht="48" x14ac:dyDescent="0.2">
      <c r="A18" s="18" t="s">
        <v>72</v>
      </c>
      <c r="B18" s="24" t="s">
        <v>570</v>
      </c>
      <c r="C18" s="49" t="s">
        <v>216</v>
      </c>
      <c r="D18" s="80"/>
      <c r="E18" s="50"/>
      <c r="F18" s="301" t="s">
        <v>532</v>
      </c>
      <c r="G18" s="204"/>
      <c r="H18" s="96"/>
      <c r="I18" s="34"/>
      <c r="J18" s="34"/>
      <c r="K18" s="34"/>
      <c r="L18" s="34"/>
    </row>
    <row r="19" spans="1:12" s="151" customFormat="1" ht="360" x14ac:dyDescent="0.2">
      <c r="A19" s="18" t="s">
        <v>400</v>
      </c>
      <c r="B19" s="148" t="s">
        <v>553</v>
      </c>
      <c r="C19" s="167" t="s">
        <v>661</v>
      </c>
      <c r="D19" s="80"/>
      <c r="E19" s="150"/>
      <c r="F19" s="309" t="s">
        <v>647</v>
      </c>
      <c r="G19" s="205"/>
      <c r="H19" s="168"/>
      <c r="I19" s="187"/>
      <c r="J19" s="186"/>
      <c r="K19" s="186"/>
      <c r="L19" s="186"/>
    </row>
    <row r="20" spans="1:12" x14ac:dyDescent="0.2">
      <c r="A20" s="18" t="s">
        <v>62</v>
      </c>
      <c r="B20" s="148" t="s">
        <v>225</v>
      </c>
      <c r="C20" s="149" t="s">
        <v>639</v>
      </c>
      <c r="D20" s="80"/>
      <c r="E20" s="28"/>
      <c r="F20" s="301" t="s">
        <v>647</v>
      </c>
      <c r="G20" s="204"/>
      <c r="H20" s="101"/>
      <c r="I20" s="34"/>
      <c r="J20" s="34"/>
      <c r="K20" s="34"/>
      <c r="L20" s="34"/>
    </row>
    <row r="21" spans="1:12" s="71" customFormat="1" ht="60" x14ac:dyDescent="0.2">
      <c r="A21" s="18" t="s">
        <v>232</v>
      </c>
      <c r="B21" s="24" t="s">
        <v>0</v>
      </c>
      <c r="C21" s="298" t="s">
        <v>451</v>
      </c>
      <c r="D21" s="80"/>
      <c r="E21" s="78"/>
      <c r="F21" s="301" t="s">
        <v>36</v>
      </c>
      <c r="G21" s="204"/>
      <c r="H21" s="190"/>
      <c r="I21" s="188"/>
      <c r="J21" s="189"/>
      <c r="K21" s="189"/>
      <c r="L21" s="189"/>
    </row>
    <row r="22" spans="1:12" s="71" customFormat="1" ht="24" x14ac:dyDescent="0.2">
      <c r="A22" s="18" t="s">
        <v>156</v>
      </c>
      <c r="B22" s="24" t="s">
        <v>0</v>
      </c>
      <c r="C22" s="97" t="s">
        <v>164</v>
      </c>
      <c r="D22" s="80"/>
      <c r="E22" s="76"/>
      <c r="F22" s="301" t="s">
        <v>534</v>
      </c>
      <c r="G22" s="204"/>
      <c r="H22" s="102"/>
      <c r="I22" s="188"/>
      <c r="J22" s="189"/>
      <c r="K22" s="189"/>
      <c r="L22" s="189"/>
    </row>
    <row r="23" spans="1:12" s="71" customFormat="1" ht="60" x14ac:dyDescent="0.2">
      <c r="A23" s="18" t="s">
        <v>233</v>
      </c>
      <c r="B23" s="24" t="s">
        <v>0</v>
      </c>
      <c r="C23" s="75" t="s">
        <v>217</v>
      </c>
      <c r="D23" s="80"/>
      <c r="E23" s="74"/>
      <c r="F23" s="301" t="s">
        <v>606</v>
      </c>
      <c r="G23" s="204"/>
      <c r="H23" s="96"/>
      <c r="I23" s="188"/>
      <c r="J23" s="189"/>
      <c r="K23" s="189"/>
      <c r="L23" s="189"/>
    </row>
    <row r="24" spans="1:12" ht="25.5" x14ac:dyDescent="0.2">
      <c r="A24" s="18" t="s">
        <v>157</v>
      </c>
      <c r="B24" s="24" t="s">
        <v>0</v>
      </c>
      <c r="C24" s="75" t="s">
        <v>211</v>
      </c>
      <c r="D24" s="80"/>
      <c r="E24" s="28"/>
      <c r="F24" s="301" t="s">
        <v>648</v>
      </c>
      <c r="G24" s="204"/>
      <c r="H24" s="101"/>
      <c r="I24" s="34"/>
      <c r="J24" s="34"/>
      <c r="K24" s="34"/>
      <c r="L24" s="34"/>
    </row>
    <row r="25" spans="1:12" s="70" customFormat="1" ht="84" x14ac:dyDescent="0.2">
      <c r="A25" s="18" t="s">
        <v>148</v>
      </c>
      <c r="B25" s="24" t="s">
        <v>0</v>
      </c>
      <c r="C25" s="75" t="s">
        <v>405</v>
      </c>
      <c r="D25" s="80"/>
      <c r="E25" s="171"/>
      <c r="F25" s="301" t="s">
        <v>606</v>
      </c>
      <c r="G25" s="204"/>
      <c r="H25" s="172"/>
      <c r="I25" s="51"/>
      <c r="J25" s="51"/>
      <c r="K25" s="51"/>
      <c r="L25" s="51"/>
    </row>
    <row r="26" spans="1:12" ht="24" x14ac:dyDescent="0.2">
      <c r="A26" s="18" t="s">
        <v>9</v>
      </c>
      <c r="B26" s="24" t="s">
        <v>0</v>
      </c>
      <c r="C26" s="98" t="s">
        <v>197</v>
      </c>
      <c r="D26" s="80"/>
      <c r="E26" s="28"/>
      <c r="F26" s="301" t="s">
        <v>534</v>
      </c>
      <c r="G26" s="204"/>
      <c r="H26" s="101"/>
      <c r="I26" s="34"/>
      <c r="J26" s="34"/>
      <c r="K26" s="34"/>
      <c r="L26" s="34"/>
    </row>
    <row r="27" spans="1:12" ht="36" x14ac:dyDescent="0.2">
      <c r="A27" s="18" t="s">
        <v>21</v>
      </c>
      <c r="B27" s="24" t="s">
        <v>0</v>
      </c>
      <c r="C27" s="98" t="s">
        <v>450</v>
      </c>
      <c r="D27" s="80"/>
      <c r="E27" s="28"/>
      <c r="F27" s="301" t="s">
        <v>534</v>
      </c>
      <c r="G27" s="204"/>
      <c r="H27" s="101"/>
      <c r="I27" s="34"/>
      <c r="J27" s="34"/>
      <c r="K27" s="34"/>
      <c r="L27" s="34"/>
    </row>
    <row r="28" spans="1:12" s="70" customFormat="1" ht="194.25" customHeight="1" x14ac:dyDescent="0.2">
      <c r="A28" s="327" t="s">
        <v>234</v>
      </c>
      <c r="B28" s="24" t="s">
        <v>553</v>
      </c>
      <c r="C28" s="98" t="s">
        <v>610</v>
      </c>
      <c r="D28" s="80"/>
      <c r="E28" s="170"/>
      <c r="F28" s="308" t="s">
        <v>532</v>
      </c>
      <c r="G28" s="331"/>
      <c r="H28" s="222"/>
      <c r="I28" s="51"/>
      <c r="J28" s="51"/>
      <c r="K28" s="51"/>
      <c r="L28" s="51"/>
    </row>
    <row r="29" spans="1:12" ht="32.25" customHeight="1" x14ac:dyDescent="0.2">
      <c r="A29" s="18" t="s">
        <v>235</v>
      </c>
      <c r="B29" s="24" t="s">
        <v>532</v>
      </c>
      <c r="C29" s="98" t="s">
        <v>449</v>
      </c>
      <c r="D29" s="80"/>
      <c r="E29" s="28"/>
      <c r="F29" s="301" t="s">
        <v>534</v>
      </c>
      <c r="G29" s="204"/>
      <c r="H29" s="101"/>
      <c r="I29" s="34"/>
      <c r="J29" s="34"/>
      <c r="K29" s="34"/>
      <c r="L29" s="34"/>
    </row>
    <row r="30" spans="1:12" ht="48" x14ac:dyDescent="0.2">
      <c r="A30" s="18" t="s">
        <v>236</v>
      </c>
      <c r="B30" s="82" t="s">
        <v>0</v>
      </c>
      <c r="C30" s="98" t="s">
        <v>389</v>
      </c>
      <c r="D30" s="80"/>
      <c r="E30" s="28"/>
      <c r="F30" s="301" t="s">
        <v>532</v>
      </c>
      <c r="G30" s="204"/>
      <c r="H30" s="101"/>
      <c r="I30" s="34"/>
      <c r="J30" s="34"/>
      <c r="K30" s="34"/>
      <c r="L30" s="34"/>
    </row>
    <row r="31" spans="1:12" ht="48" customHeight="1" x14ac:dyDescent="0.2">
      <c r="A31" s="18" t="s">
        <v>237</v>
      </c>
      <c r="B31" s="24" t="s">
        <v>0</v>
      </c>
      <c r="C31" s="98" t="s">
        <v>360</v>
      </c>
      <c r="D31" s="80"/>
      <c r="E31" s="28"/>
      <c r="F31" s="301" t="s">
        <v>606</v>
      </c>
      <c r="G31" s="204"/>
      <c r="H31" s="101"/>
      <c r="I31" s="34"/>
      <c r="J31" s="34"/>
      <c r="K31" s="34"/>
      <c r="L31" s="34"/>
    </row>
    <row r="32" spans="1:12" ht="399.95" customHeight="1" x14ac:dyDescent="0.2">
      <c r="A32" s="18" t="s">
        <v>238</v>
      </c>
      <c r="B32" s="24" t="s">
        <v>0</v>
      </c>
      <c r="C32" s="98" t="s">
        <v>361</v>
      </c>
      <c r="D32" s="80"/>
      <c r="E32" s="28"/>
      <c r="F32" s="301" t="s">
        <v>534</v>
      </c>
      <c r="G32" s="204"/>
      <c r="H32" s="101"/>
      <c r="I32" s="34"/>
      <c r="J32" s="34"/>
      <c r="K32" s="34"/>
      <c r="L32" s="34"/>
    </row>
    <row r="33" spans="1:12" x14ac:dyDescent="0.2">
      <c r="A33" s="18" t="s">
        <v>239</v>
      </c>
      <c r="B33" s="24" t="s">
        <v>553</v>
      </c>
      <c r="C33" s="75" t="s">
        <v>212</v>
      </c>
      <c r="D33" s="80"/>
      <c r="E33" s="28"/>
      <c r="F33" s="301" t="s">
        <v>647</v>
      </c>
      <c r="G33" s="204"/>
      <c r="H33" s="101"/>
      <c r="I33" s="34"/>
      <c r="J33" s="34"/>
      <c r="K33" s="34"/>
      <c r="L33" s="34"/>
    </row>
    <row r="34" spans="1:12" ht="48" x14ac:dyDescent="0.2">
      <c r="A34" s="18" t="s">
        <v>401</v>
      </c>
      <c r="B34" s="24" t="s">
        <v>36</v>
      </c>
      <c r="C34" s="75" t="s">
        <v>397</v>
      </c>
      <c r="D34" s="80"/>
      <c r="E34" s="28"/>
      <c r="F34" s="301" t="s">
        <v>534</v>
      </c>
      <c r="G34" s="204"/>
      <c r="H34" s="101"/>
      <c r="I34" s="34"/>
      <c r="J34" s="34"/>
      <c r="K34" s="34"/>
      <c r="L34" s="34"/>
    </row>
    <row r="35" spans="1:12" ht="348" x14ac:dyDescent="0.2">
      <c r="A35" s="18" t="s">
        <v>240</v>
      </c>
      <c r="B35" s="24" t="s">
        <v>0</v>
      </c>
      <c r="C35" s="75" t="s">
        <v>336</v>
      </c>
      <c r="D35" s="80"/>
      <c r="E35" s="28"/>
      <c r="F35" s="301" t="s">
        <v>534</v>
      </c>
      <c r="G35" s="204"/>
      <c r="H35" s="67"/>
      <c r="I35" s="34"/>
      <c r="J35" s="34"/>
      <c r="K35" s="34"/>
      <c r="L35" s="34"/>
    </row>
    <row r="36" spans="1:12" ht="409.5" x14ac:dyDescent="0.2">
      <c r="A36" s="18" t="s">
        <v>241</v>
      </c>
      <c r="B36" s="141" t="s">
        <v>602</v>
      </c>
      <c r="C36" s="75" t="s">
        <v>358</v>
      </c>
      <c r="D36" s="80"/>
      <c r="E36" s="28"/>
      <c r="F36" s="301" t="s">
        <v>534</v>
      </c>
      <c r="G36" s="204"/>
      <c r="H36" s="101"/>
      <c r="I36" s="34"/>
      <c r="J36" s="34"/>
      <c r="K36" s="34"/>
      <c r="L36" s="34"/>
    </row>
    <row r="37" spans="1:12" ht="108" x14ac:dyDescent="0.2">
      <c r="A37" s="18" t="s">
        <v>242</v>
      </c>
      <c r="B37" s="141" t="s">
        <v>359</v>
      </c>
      <c r="C37" s="310" t="s">
        <v>469</v>
      </c>
      <c r="D37" s="80"/>
      <c r="E37" s="28"/>
      <c r="F37" s="301" t="s">
        <v>647</v>
      </c>
      <c r="G37" s="204"/>
      <c r="H37" s="101"/>
      <c r="I37" s="34"/>
      <c r="J37" s="34"/>
      <c r="K37" s="34"/>
      <c r="L37" s="34"/>
    </row>
    <row r="38" spans="1:12" ht="276" x14ac:dyDescent="0.2">
      <c r="A38" s="18" t="s">
        <v>243</v>
      </c>
      <c r="B38" s="262" t="s">
        <v>0</v>
      </c>
      <c r="C38" s="263" t="s">
        <v>448</v>
      </c>
      <c r="D38" s="80"/>
      <c r="E38" s="264"/>
      <c r="F38" s="301" t="s">
        <v>534</v>
      </c>
      <c r="G38" s="265"/>
      <c r="H38" s="266"/>
      <c r="I38" s="34"/>
      <c r="J38" s="34"/>
      <c r="K38" s="34"/>
      <c r="L38" s="34"/>
    </row>
    <row r="39" spans="1:12" s="51" customFormat="1" ht="222" customHeight="1" x14ac:dyDescent="0.2">
      <c r="A39" s="18" t="s">
        <v>244</v>
      </c>
      <c r="B39" s="274" t="s">
        <v>36</v>
      </c>
      <c r="C39" s="275" t="s">
        <v>452</v>
      </c>
      <c r="D39" s="80"/>
      <c r="E39" s="170"/>
      <c r="F39" s="301" t="s">
        <v>534</v>
      </c>
      <c r="G39" s="229"/>
      <c r="H39" s="222"/>
    </row>
    <row r="40" spans="1:12" s="51" customFormat="1" ht="89.25" x14ac:dyDescent="0.2">
      <c r="A40" s="18" t="s">
        <v>363</v>
      </c>
      <c r="B40" s="345" t="s">
        <v>570</v>
      </c>
      <c r="C40" s="231" t="s">
        <v>408</v>
      </c>
      <c r="D40" s="80"/>
      <c r="E40" s="185"/>
      <c r="F40" s="301" t="s">
        <v>534</v>
      </c>
      <c r="G40" s="206"/>
      <c r="H40" s="184"/>
    </row>
    <row r="41" spans="1:12" s="51" customFormat="1" ht="127.5" x14ac:dyDescent="0.2">
      <c r="A41" s="18" t="s">
        <v>395</v>
      </c>
      <c r="B41" s="155" t="s">
        <v>36</v>
      </c>
      <c r="C41" s="232" t="s">
        <v>417</v>
      </c>
      <c r="D41" s="80"/>
      <c r="E41" s="170"/>
      <c r="F41" s="301" t="s">
        <v>534</v>
      </c>
      <c r="G41" s="230"/>
      <c r="H41" s="170"/>
    </row>
    <row r="42" spans="1:12" s="51" customFormat="1" ht="24" x14ac:dyDescent="0.2">
      <c r="A42" s="18" t="s">
        <v>364</v>
      </c>
      <c r="B42" s="155" t="s">
        <v>36</v>
      </c>
      <c r="C42" s="296" t="s">
        <v>441</v>
      </c>
      <c r="D42" s="80"/>
      <c r="E42" s="170"/>
      <c r="F42" s="301" t="s">
        <v>534</v>
      </c>
      <c r="G42" s="230"/>
      <c r="H42" s="170"/>
    </row>
    <row r="43" spans="1:12" s="51" customFormat="1" ht="22.5" customHeight="1" x14ac:dyDescent="0.2">
      <c r="A43" s="18" t="s">
        <v>365</v>
      </c>
      <c r="B43" s="13" t="s">
        <v>532</v>
      </c>
      <c r="C43" s="296" t="s">
        <v>453</v>
      </c>
      <c r="D43" s="80"/>
      <c r="E43" s="170"/>
      <c r="F43" s="308" t="s">
        <v>532</v>
      </c>
      <c r="G43" s="230"/>
      <c r="H43" s="170"/>
    </row>
    <row r="44" spans="1:12" s="51" customFormat="1" ht="81.75" customHeight="1" x14ac:dyDescent="0.2">
      <c r="A44" s="18" t="s">
        <v>475</v>
      </c>
      <c r="B44" s="13" t="s">
        <v>594</v>
      </c>
      <c r="C44" s="296" t="s">
        <v>592</v>
      </c>
      <c r="D44" s="80"/>
      <c r="E44" s="170"/>
      <c r="F44" s="308" t="s">
        <v>620</v>
      </c>
      <c r="G44" s="230"/>
      <c r="H44" s="170"/>
    </row>
    <row r="45" spans="1:12" s="51" customFormat="1" ht="60" x14ac:dyDescent="0.2">
      <c r="A45" s="18" t="s">
        <v>416</v>
      </c>
      <c r="B45" s="24" t="s">
        <v>597</v>
      </c>
      <c r="C45" s="49" t="s">
        <v>477</v>
      </c>
      <c r="D45" s="80"/>
      <c r="E45" s="170"/>
      <c r="F45" s="308" t="s">
        <v>532</v>
      </c>
      <c r="G45" s="230"/>
      <c r="H45" s="170"/>
    </row>
    <row r="46" spans="1:12" s="51" customFormat="1" ht="48" x14ac:dyDescent="0.2">
      <c r="A46" s="18" t="s">
        <v>423</v>
      </c>
      <c r="B46" s="233" t="s">
        <v>225</v>
      </c>
      <c r="C46" s="149" t="s">
        <v>124</v>
      </c>
      <c r="D46" s="80"/>
      <c r="E46" s="300" t="s">
        <v>39</v>
      </c>
      <c r="F46" s="308" t="s">
        <v>647</v>
      </c>
      <c r="G46" s="229"/>
      <c r="H46" s="96"/>
    </row>
    <row r="47" spans="1:12" s="51" customFormat="1" ht="108" x14ac:dyDescent="0.2">
      <c r="A47" s="18" t="s">
        <v>447</v>
      </c>
      <c r="B47" s="155" t="s">
        <v>0</v>
      </c>
      <c r="C47" s="149" t="s">
        <v>649</v>
      </c>
      <c r="D47" s="80"/>
      <c r="E47" s="300"/>
      <c r="F47" s="308" t="s">
        <v>650</v>
      </c>
      <c r="G47" s="229"/>
      <c r="H47" s="96"/>
    </row>
    <row r="48" spans="1:12" s="51" customFormat="1" ht="24" x14ac:dyDescent="0.2">
      <c r="A48" s="18" t="s">
        <v>471</v>
      </c>
      <c r="B48" s="233" t="s">
        <v>0</v>
      </c>
      <c r="C48" s="234" t="s">
        <v>246</v>
      </c>
      <c r="D48" s="80"/>
      <c r="E48" s="170"/>
      <c r="F48" s="308" t="s">
        <v>650</v>
      </c>
      <c r="G48" s="229"/>
      <c r="H48" s="222"/>
    </row>
    <row r="49" spans="1:12" ht="38.25" x14ac:dyDescent="0.2">
      <c r="A49" s="18" t="s">
        <v>593</v>
      </c>
      <c r="B49" s="346" t="s">
        <v>570</v>
      </c>
      <c r="C49" s="185" t="s">
        <v>467</v>
      </c>
      <c r="D49" s="80"/>
      <c r="E49" s="185"/>
      <c r="F49" s="308" t="s">
        <v>650</v>
      </c>
      <c r="G49" s="206"/>
      <c r="H49" s="184"/>
      <c r="I49" s="34"/>
      <c r="J49" s="34"/>
      <c r="K49" s="34"/>
      <c r="L49" s="34"/>
    </row>
    <row r="50" spans="1:12" ht="25.5" x14ac:dyDescent="0.2">
      <c r="A50" s="18" t="s">
        <v>596</v>
      </c>
      <c r="B50" s="267" t="s">
        <v>553</v>
      </c>
      <c r="C50" s="268" t="s">
        <v>424</v>
      </c>
      <c r="D50" s="80"/>
      <c r="E50" s="269"/>
      <c r="F50" s="308" t="s">
        <v>650</v>
      </c>
      <c r="G50" s="270"/>
      <c r="H50" s="269"/>
      <c r="I50" s="34"/>
      <c r="J50" s="34"/>
      <c r="K50" s="34"/>
      <c r="L50" s="34"/>
    </row>
    <row r="51" spans="1:12" x14ac:dyDescent="0.2">
      <c r="G51" s="207"/>
      <c r="H51" s="34"/>
      <c r="I51" s="34"/>
      <c r="J51" s="34"/>
      <c r="K51" s="34"/>
      <c r="L51" s="34"/>
    </row>
    <row r="52" spans="1:12" x14ac:dyDescent="0.2">
      <c r="G52" s="207"/>
      <c r="H52" s="34"/>
      <c r="I52" s="34"/>
      <c r="J52" s="34"/>
      <c r="K52" s="34"/>
      <c r="L52" s="34"/>
    </row>
    <row r="53" spans="1:12" x14ac:dyDescent="0.2">
      <c r="G53" s="207"/>
      <c r="H53" s="34"/>
      <c r="I53" s="34"/>
      <c r="J53" s="34"/>
      <c r="K53" s="34"/>
      <c r="L53" s="34"/>
    </row>
    <row r="54" spans="1:12" x14ac:dyDescent="0.2">
      <c r="G54" s="207"/>
      <c r="H54" s="34"/>
      <c r="I54" s="34"/>
      <c r="J54" s="34"/>
      <c r="K54" s="34"/>
      <c r="L54" s="34"/>
    </row>
    <row r="55" spans="1:12" x14ac:dyDescent="0.2">
      <c r="G55" s="207"/>
      <c r="H55" s="34"/>
      <c r="I55" s="34"/>
      <c r="J55" s="34"/>
      <c r="K55" s="34"/>
      <c r="L55" s="34"/>
    </row>
    <row r="56" spans="1:12" x14ac:dyDescent="0.2">
      <c r="G56" s="207"/>
      <c r="H56" s="34"/>
      <c r="I56" s="34"/>
      <c r="J56" s="34"/>
      <c r="K56" s="34"/>
      <c r="L56" s="34"/>
    </row>
    <row r="57" spans="1:12" x14ac:dyDescent="0.2">
      <c r="G57" s="207"/>
      <c r="H57" s="34"/>
      <c r="I57" s="34"/>
      <c r="J57" s="34"/>
      <c r="K57" s="34"/>
      <c r="L57" s="34"/>
    </row>
    <row r="58" spans="1:12" x14ac:dyDescent="0.2">
      <c r="G58" s="207"/>
      <c r="H58" s="34"/>
      <c r="I58" s="34"/>
      <c r="J58" s="34"/>
      <c r="K58" s="34"/>
      <c r="L58" s="34"/>
    </row>
    <row r="59" spans="1:12" x14ac:dyDescent="0.2">
      <c r="G59" s="207"/>
      <c r="H59" s="34"/>
      <c r="I59" s="34"/>
      <c r="J59" s="34"/>
      <c r="K59" s="34"/>
      <c r="L59" s="34"/>
    </row>
    <row r="60" spans="1:12" x14ac:dyDescent="0.2">
      <c r="G60" s="207"/>
      <c r="H60" s="34"/>
      <c r="I60" s="34"/>
      <c r="J60" s="34"/>
      <c r="K60" s="34"/>
      <c r="L60" s="34"/>
    </row>
    <row r="61" spans="1:12" x14ac:dyDescent="0.2">
      <c r="G61" s="207"/>
      <c r="H61" s="34"/>
      <c r="I61" s="34"/>
      <c r="J61" s="34"/>
      <c r="K61" s="34"/>
      <c r="L61" s="34"/>
    </row>
    <row r="62" spans="1:12" x14ac:dyDescent="0.2">
      <c r="G62" s="207"/>
      <c r="H62" s="34"/>
      <c r="I62" s="34"/>
      <c r="J62" s="34"/>
      <c r="K62" s="34"/>
      <c r="L62" s="34"/>
    </row>
    <row r="63" spans="1:12" x14ac:dyDescent="0.2">
      <c r="G63" s="207"/>
      <c r="H63" s="34"/>
      <c r="I63" s="34"/>
      <c r="J63" s="34"/>
      <c r="K63" s="34"/>
      <c r="L63" s="34"/>
    </row>
    <row r="64" spans="1:12" x14ac:dyDescent="0.2">
      <c r="G64" s="207"/>
      <c r="H64" s="34"/>
      <c r="I64" s="34"/>
      <c r="J64" s="34"/>
      <c r="K64" s="34"/>
      <c r="L64" s="34"/>
    </row>
    <row r="65" spans="7:12" x14ac:dyDescent="0.2">
      <c r="G65" s="207"/>
      <c r="H65" s="34"/>
      <c r="I65" s="34"/>
      <c r="J65" s="34"/>
      <c r="K65" s="34"/>
      <c r="L65" s="34"/>
    </row>
    <row r="66" spans="7:12" x14ac:dyDescent="0.2">
      <c r="G66" s="207"/>
      <c r="H66" s="34"/>
      <c r="I66" s="34"/>
      <c r="J66" s="34"/>
      <c r="K66" s="34"/>
      <c r="L66" s="34"/>
    </row>
    <row r="67" spans="7:12" x14ac:dyDescent="0.2">
      <c r="G67" s="207"/>
      <c r="H67" s="34"/>
      <c r="I67" s="34"/>
      <c r="J67" s="34"/>
      <c r="K67" s="34"/>
      <c r="L67" s="34"/>
    </row>
    <row r="68" spans="7:12" x14ac:dyDescent="0.2">
      <c r="G68" s="207"/>
      <c r="H68" s="34"/>
      <c r="I68" s="34"/>
      <c r="J68" s="34"/>
      <c r="K68" s="34"/>
      <c r="L68" s="34"/>
    </row>
    <row r="69" spans="7:12" x14ac:dyDescent="0.2">
      <c r="G69" s="207"/>
      <c r="H69" s="34"/>
      <c r="I69" s="34"/>
      <c r="J69" s="34"/>
      <c r="K69" s="34"/>
      <c r="L69" s="34"/>
    </row>
    <row r="70" spans="7:12" x14ac:dyDescent="0.2">
      <c r="G70" s="207"/>
      <c r="H70" s="34"/>
      <c r="I70" s="34"/>
      <c r="J70" s="34"/>
      <c r="K70" s="34"/>
      <c r="L70" s="34"/>
    </row>
    <row r="71" spans="7:12" x14ac:dyDescent="0.2">
      <c r="G71" s="207"/>
      <c r="H71" s="34"/>
      <c r="I71" s="34"/>
      <c r="J71" s="34"/>
      <c r="K71" s="34"/>
      <c r="L71" s="34"/>
    </row>
    <row r="72" spans="7:12" x14ac:dyDescent="0.2">
      <c r="G72" s="207"/>
      <c r="H72" s="34"/>
      <c r="I72" s="34"/>
      <c r="J72" s="34"/>
      <c r="K72" s="34"/>
      <c r="L72" s="34"/>
    </row>
    <row r="73" spans="7:12" x14ac:dyDescent="0.2">
      <c r="G73" s="207"/>
      <c r="H73" s="34"/>
      <c r="I73" s="34"/>
      <c r="J73" s="34"/>
      <c r="K73" s="34"/>
      <c r="L73" s="34"/>
    </row>
    <row r="74" spans="7:12" x14ac:dyDescent="0.2">
      <c r="G74" s="207"/>
      <c r="H74" s="34"/>
      <c r="I74" s="34"/>
      <c r="J74" s="34"/>
      <c r="K74" s="34"/>
      <c r="L74" s="34"/>
    </row>
    <row r="75" spans="7:12" x14ac:dyDescent="0.2">
      <c r="G75" s="207"/>
      <c r="H75" s="34"/>
      <c r="I75" s="34"/>
      <c r="J75" s="34"/>
      <c r="K75" s="34"/>
      <c r="L75" s="34"/>
    </row>
    <row r="76" spans="7:12" x14ac:dyDescent="0.2">
      <c r="G76" s="207"/>
      <c r="H76" s="34"/>
      <c r="I76" s="34"/>
      <c r="J76" s="34"/>
      <c r="K76" s="34"/>
      <c r="L76" s="34"/>
    </row>
    <row r="77" spans="7:12" x14ac:dyDescent="0.2">
      <c r="G77" s="207"/>
      <c r="H77" s="34"/>
      <c r="I77" s="34"/>
      <c r="J77" s="34"/>
      <c r="K77" s="34"/>
      <c r="L77" s="34"/>
    </row>
    <row r="78" spans="7:12" x14ac:dyDescent="0.2">
      <c r="G78" s="207"/>
      <c r="H78" s="34"/>
      <c r="I78" s="34"/>
      <c r="J78" s="34"/>
      <c r="K78" s="34"/>
      <c r="L78" s="34"/>
    </row>
    <row r="79" spans="7:12" x14ac:dyDescent="0.2">
      <c r="G79" s="207"/>
      <c r="H79" s="34"/>
      <c r="I79" s="34"/>
      <c r="J79" s="34"/>
      <c r="K79" s="34"/>
      <c r="L79" s="34"/>
    </row>
    <row r="80" spans="7:12" x14ac:dyDescent="0.2">
      <c r="G80" s="207"/>
      <c r="H80" s="34"/>
      <c r="I80" s="34"/>
      <c r="J80" s="34"/>
      <c r="K80" s="34"/>
      <c r="L80" s="34"/>
    </row>
    <row r="81" spans="7:12" x14ac:dyDescent="0.2">
      <c r="G81" s="207"/>
      <c r="H81" s="34"/>
      <c r="I81" s="34"/>
      <c r="J81" s="34"/>
      <c r="K81" s="34"/>
      <c r="L81" s="34"/>
    </row>
    <row r="82" spans="7:12" x14ac:dyDescent="0.2">
      <c r="G82" s="207"/>
      <c r="H82" s="34"/>
      <c r="I82" s="34"/>
      <c r="J82" s="34"/>
      <c r="K82" s="34"/>
      <c r="L82" s="34"/>
    </row>
    <row r="83" spans="7:12" x14ac:dyDescent="0.2">
      <c r="G83" s="207"/>
      <c r="H83" s="34"/>
      <c r="I83" s="34"/>
      <c r="J83" s="34"/>
      <c r="K83" s="34"/>
      <c r="L83" s="34"/>
    </row>
    <row r="84" spans="7:12" x14ac:dyDescent="0.2">
      <c r="G84" s="207"/>
      <c r="H84" s="34"/>
      <c r="I84" s="34"/>
      <c r="J84" s="34"/>
      <c r="K84" s="34"/>
      <c r="L84" s="34"/>
    </row>
    <row r="85" spans="7:12" x14ac:dyDescent="0.2">
      <c r="G85" s="207"/>
      <c r="H85" s="34"/>
      <c r="I85" s="34"/>
      <c r="J85" s="34"/>
      <c r="K85" s="34"/>
      <c r="L85" s="34"/>
    </row>
    <row r="86" spans="7:12" x14ac:dyDescent="0.2">
      <c r="G86" s="207"/>
      <c r="H86" s="34"/>
      <c r="I86" s="34"/>
      <c r="J86" s="34"/>
      <c r="K86" s="34"/>
      <c r="L86" s="34"/>
    </row>
    <row r="87" spans="7:12" x14ac:dyDescent="0.2">
      <c r="G87" s="207"/>
      <c r="H87" s="34"/>
      <c r="I87" s="34"/>
      <c r="J87" s="34"/>
    </row>
    <row r="88" spans="7:12" x14ac:dyDescent="0.2">
      <c r="G88" s="207"/>
      <c r="H88" s="34"/>
    </row>
  </sheetData>
  <customSheetViews>
    <customSheetView guid="{7FBF45D6-F685-4C77-B0BA-F72AA644D01D}" scale="101" fitToPage="1" showRuler="0">
      <pane ySplit="4" topLeftCell="A32" activePane="bottomLeft" state="frozen"/>
      <selection pane="bottomLeft" activeCell="G30" sqref="G30"/>
      <pageMargins left="0.75" right="0.75" top="1" bottom="1" header="0.5" footer="0.5"/>
      <pageSetup scale="97" fitToHeight="0" orientation="landscape" r:id="rId1"/>
      <headerFooter alignWithMargins="0">
        <oddHeader>&amp;C&amp;F
DSM-to-Cache Friday Prior Activities</oddHeader>
        <oddFooter>&amp;LDSM-to-Cache - Friday Prior&amp;C&amp;D&amp;RPage &amp;P of &amp;N Pages</oddFooter>
      </headerFooter>
    </customSheetView>
    <customSheetView guid="{AC2BCB63-8807-499F-9157-FFFCFF89CB73}" scale="101" showPageBreaks="1" fitToPage="1" printArea="1" showRuler="0">
      <pane ySplit="4" topLeftCell="A32" activePane="bottomLeft" state="frozen"/>
      <selection pane="bottomLeft" activeCell="G30" sqref="G30"/>
      <pageMargins left="0.75" right="0.75" top="1" bottom="1" header="0.5" footer="0.5"/>
      <pageSetup scale="97" fitToHeight="0" orientation="landscape" r:id="rId2"/>
      <headerFooter alignWithMargins="0">
        <oddHeader>&amp;C&amp;F
DSM-to-Cache Friday Prior Activities</oddHeader>
        <oddFooter>&amp;LDSM-to-Cache - Friday Prior&amp;C&amp;D&amp;RPage &amp;P of &amp;N Pages</oddFooter>
      </headerFooter>
    </customSheetView>
  </customSheetViews>
  <mergeCells count="11">
    <mergeCell ref="A6:H6"/>
    <mergeCell ref="H1:H2"/>
    <mergeCell ref="G1:G2"/>
    <mergeCell ref="A1:A2"/>
    <mergeCell ref="B1:B2"/>
    <mergeCell ref="C1:C2"/>
    <mergeCell ref="D1:E1"/>
    <mergeCell ref="A3:H3"/>
    <mergeCell ref="A4:H4"/>
    <mergeCell ref="A5:H5"/>
    <mergeCell ref="F1:F2"/>
  </mergeCells>
  <phoneticPr fontId="9" type="noConversion"/>
  <conditionalFormatting sqref="G46:G48 G7:G38">
    <cfRule type="cellIs" dxfId="13" priority="5" operator="between">
      <formula>40179</formula>
      <formula>46022</formula>
    </cfRule>
    <cfRule type="containsText" dxfId="12" priority="6" operator="containsText" text="*In Progress*">
      <formula>NOT(ISERROR(SEARCH("*In Progress*",G7)))</formula>
    </cfRule>
  </conditionalFormatting>
  <conditionalFormatting sqref="G39">
    <cfRule type="cellIs" dxfId="11" priority="3" operator="between">
      <formula>40179</formula>
      <formula>46022</formula>
    </cfRule>
    <cfRule type="containsText" dxfId="10" priority="4" operator="containsText" text="*In Progress*">
      <formula>NOT(ISERROR(SEARCH("*In Progress*",G39)))</formula>
    </cfRule>
  </conditionalFormatting>
  <pageMargins left="0.75" right="0.75" top="1" bottom="1" header="0.5" footer="0.5"/>
  <pageSetup fitToHeight="0" orientation="landscape" r:id="rId3"/>
  <headerFooter alignWithMargins="0">
    <oddHeader>&amp;C&amp;F
Co-Location Friday Tasks</oddHeader>
    <oddFooter>&amp;LCo-Location Friday Tasks&amp;C&amp;D&amp;RPage &amp;P of &amp;N Pages</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tint="-0.14999847407452621"/>
    <pageSetUpPr fitToPage="1"/>
  </sheetPr>
  <dimension ref="A5:L7"/>
  <sheetViews>
    <sheetView zoomScaleNormal="100" workbookViewId="0">
      <pane ySplit="1" topLeftCell="A2" activePane="bottomLeft" state="frozen"/>
      <selection pane="bottomLeft" activeCell="G11" sqref="G11"/>
    </sheetView>
  </sheetViews>
  <sheetFormatPr defaultColWidth="9.140625" defaultRowHeight="12.75" x14ac:dyDescent="0.2"/>
  <cols>
    <col min="1" max="1" width="9.140625" style="73"/>
    <col min="2" max="2" width="9.140625" style="71"/>
    <col min="4" max="6" width="9.140625" style="71"/>
    <col min="7" max="7" width="9.140625" style="72"/>
    <col min="8" max="9" width="9.140625" style="71"/>
    <col min="10" max="12" width="9.140625" style="81"/>
    <col min="13" max="16384" width="9.140625" style="71"/>
  </cols>
  <sheetData>
    <row r="5" spans="6:12" ht="13.5" thickBot="1" x14ac:dyDescent="0.25"/>
    <row r="6" spans="6:12" x14ac:dyDescent="0.2">
      <c r="F6" s="484" t="s">
        <v>337</v>
      </c>
      <c r="G6" s="485"/>
      <c r="H6" s="485"/>
      <c r="I6" s="485"/>
      <c r="J6" s="485"/>
      <c r="K6" s="485"/>
      <c r="L6" s="483"/>
    </row>
    <row r="7" spans="6:12" ht="13.5" thickBot="1" x14ac:dyDescent="0.25">
      <c r="F7" s="486"/>
      <c r="G7" s="487"/>
      <c r="H7" s="487"/>
      <c r="I7" s="487"/>
      <c r="J7" s="487"/>
      <c r="K7" s="487"/>
      <c r="L7" s="488"/>
    </row>
  </sheetData>
  <mergeCells count="1">
    <mergeCell ref="F6:L7"/>
  </mergeCells>
  <printOptions horizontalCentered="1"/>
  <pageMargins left="0.4" right="0.36" top="1" bottom="1" header="0.5" footer="0.5"/>
  <pageSetup fitToHeight="0" orientation="landscape" r:id="rId1"/>
  <headerFooter alignWithMargins="0">
    <oddHeader>&amp;C&amp;F
Co-Location Saturday Tasks</oddHeader>
    <oddFooter>&amp;LCo-Location Saturday Tasks&amp;C&amp;D&amp;RPage  &amp;P of &amp;N Pages</oddFooter>
  </headerFooter>
  <colBreaks count="1" manualBreakCount="1">
    <brk id="4"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L32"/>
  <sheetViews>
    <sheetView zoomScale="125" zoomScaleNormal="125" workbookViewId="0">
      <pane ySplit="5" topLeftCell="A7" activePane="bottomLeft" state="frozen"/>
      <selection pane="bottomLeft" activeCell="E30" sqref="E30"/>
    </sheetView>
  </sheetViews>
  <sheetFormatPr defaultRowHeight="12.75" x14ac:dyDescent="0.2"/>
  <cols>
    <col min="1" max="1" width="9.140625" customWidth="1"/>
    <col min="2" max="2" width="11.42578125" customWidth="1"/>
    <col min="3" max="3" width="43.140625" customWidth="1"/>
    <col min="4" max="4" width="17.7109375" bestFit="1" customWidth="1"/>
    <col min="5" max="5" width="16.85546875" customWidth="1"/>
    <col min="6" max="6" width="10.28515625" style="23" customWidth="1"/>
    <col min="7" max="7" width="29" style="196" customWidth="1"/>
    <col min="8" max="8" width="16.85546875" customWidth="1"/>
  </cols>
  <sheetData>
    <row r="1" spans="1:12" ht="13.15" customHeight="1" x14ac:dyDescent="0.2">
      <c r="A1" s="474" t="s">
        <v>31</v>
      </c>
      <c r="B1" s="404" t="s">
        <v>567</v>
      </c>
      <c r="C1" s="476" t="s">
        <v>32</v>
      </c>
      <c r="D1" s="471" t="s">
        <v>33</v>
      </c>
      <c r="E1" s="471"/>
      <c r="F1" s="404" t="s">
        <v>160</v>
      </c>
      <c r="G1" s="472" t="s">
        <v>151</v>
      </c>
      <c r="H1" s="469" t="s">
        <v>185</v>
      </c>
    </row>
    <row r="2" spans="1:12" ht="13.5" thickBot="1" x14ac:dyDescent="0.25">
      <c r="A2" s="475"/>
      <c r="B2" s="404"/>
      <c r="C2" s="477"/>
      <c r="D2" s="26" t="s">
        <v>34</v>
      </c>
      <c r="E2" s="26" t="s">
        <v>35</v>
      </c>
      <c r="F2" s="414"/>
      <c r="G2" s="473"/>
      <c r="H2" s="482"/>
    </row>
    <row r="3" spans="1:12" ht="18.75" thickBot="1" x14ac:dyDescent="0.25">
      <c r="A3" s="466" t="s">
        <v>115</v>
      </c>
      <c r="B3" s="467"/>
      <c r="C3" s="467"/>
      <c r="D3" s="467"/>
      <c r="E3" s="467"/>
      <c r="F3" s="467"/>
      <c r="G3" s="467"/>
      <c r="H3" s="28"/>
    </row>
    <row r="4" spans="1:12" ht="13.5" customHeight="1" thickBot="1" x14ac:dyDescent="0.25">
      <c r="A4" s="493" t="s">
        <v>585</v>
      </c>
      <c r="B4" s="494"/>
      <c r="C4" s="494"/>
      <c r="D4" s="494"/>
      <c r="E4" s="494"/>
      <c r="F4" s="494"/>
      <c r="G4" s="494"/>
      <c r="H4" s="28"/>
    </row>
    <row r="5" spans="1:12" ht="18" customHeight="1" x14ac:dyDescent="0.2">
      <c r="A5" s="31"/>
      <c r="B5" s="37"/>
      <c r="C5" s="32" t="s">
        <v>122</v>
      </c>
      <c r="D5" s="37"/>
      <c r="E5" s="37"/>
      <c r="F5" s="315"/>
      <c r="G5" s="208"/>
      <c r="H5" s="94"/>
    </row>
    <row r="6" spans="1:12" ht="24" x14ac:dyDescent="0.2">
      <c r="A6" s="18" t="s">
        <v>425</v>
      </c>
      <c r="B6" s="29" t="s">
        <v>225</v>
      </c>
      <c r="C6" s="62" t="s">
        <v>186</v>
      </c>
      <c r="D6" s="52" t="s">
        <v>120</v>
      </c>
      <c r="E6" s="29"/>
      <c r="F6" s="24" t="s">
        <v>650</v>
      </c>
      <c r="G6" s="209"/>
      <c r="H6" s="29"/>
    </row>
    <row r="7" spans="1:12" ht="48" x14ac:dyDescent="0.2">
      <c r="A7" s="18" t="s">
        <v>426</v>
      </c>
      <c r="B7" s="24" t="s">
        <v>571</v>
      </c>
      <c r="C7" s="17" t="s">
        <v>611</v>
      </c>
      <c r="D7" s="15"/>
      <c r="E7" s="24"/>
      <c r="F7" s="24" t="s">
        <v>650</v>
      </c>
      <c r="G7" s="210"/>
      <c r="H7" s="24"/>
    </row>
    <row r="8" spans="1:12" ht="24" x14ac:dyDescent="0.2">
      <c r="A8" s="18" t="s">
        <v>427</v>
      </c>
      <c r="B8" s="24" t="s">
        <v>571</v>
      </c>
      <c r="C8" s="17" t="s">
        <v>193</v>
      </c>
      <c r="D8" s="15"/>
      <c r="E8" s="24"/>
      <c r="F8" s="148" t="s">
        <v>612</v>
      </c>
      <c r="G8" s="210"/>
      <c r="H8" s="148"/>
    </row>
    <row r="9" spans="1:12" x14ac:dyDescent="0.2">
      <c r="A9" s="18" t="s">
        <v>428</v>
      </c>
      <c r="B9" s="24" t="s">
        <v>553</v>
      </c>
      <c r="C9" s="27" t="s">
        <v>387</v>
      </c>
      <c r="D9" s="15"/>
      <c r="E9" s="45"/>
      <c r="F9" s="148" t="s">
        <v>532</v>
      </c>
      <c r="G9" s="211"/>
      <c r="H9" s="150"/>
    </row>
    <row r="10" spans="1:12" ht="24" x14ac:dyDescent="0.2">
      <c r="A10" s="18" t="s">
        <v>429</v>
      </c>
      <c r="B10" s="13" t="s">
        <v>225</v>
      </c>
      <c r="C10" s="17" t="s">
        <v>129</v>
      </c>
      <c r="D10" s="52"/>
      <c r="E10" s="47"/>
      <c r="F10" s="148" t="s">
        <v>607</v>
      </c>
      <c r="G10" s="212"/>
      <c r="H10" s="152"/>
    </row>
    <row r="11" spans="1:12" ht="48" x14ac:dyDescent="0.2">
      <c r="A11" s="18" t="s">
        <v>430</v>
      </c>
      <c r="B11" s="13" t="s">
        <v>572</v>
      </c>
      <c r="C11" s="17" t="s">
        <v>213</v>
      </c>
      <c r="D11" s="52"/>
      <c r="E11" s="47"/>
      <c r="F11" s="148" t="s">
        <v>532</v>
      </c>
      <c r="G11" s="212"/>
      <c r="H11" s="153"/>
    </row>
    <row r="12" spans="1:12" s="249" customFormat="1" ht="276" x14ac:dyDescent="0.2">
      <c r="A12" s="236" t="s">
        <v>454</v>
      </c>
      <c r="B12" s="24" t="s">
        <v>553</v>
      </c>
      <c r="C12" s="245" t="s">
        <v>431</v>
      </c>
      <c r="D12" s="52"/>
      <c r="E12" s="246"/>
      <c r="F12" s="308" t="s">
        <v>650</v>
      </c>
      <c r="G12" s="247"/>
      <c r="H12" s="248"/>
      <c r="I12" s="70"/>
      <c r="J12" s="70"/>
      <c r="K12" s="70"/>
      <c r="L12" s="70"/>
    </row>
    <row r="13" spans="1:12" s="71" customFormat="1" ht="132" x14ac:dyDescent="0.2">
      <c r="A13" s="18" t="s">
        <v>455</v>
      </c>
      <c r="B13" s="24" t="s">
        <v>608</v>
      </c>
      <c r="C13" s="145" t="s">
        <v>210</v>
      </c>
      <c r="D13" s="52"/>
      <c r="E13" s="77"/>
      <c r="F13" s="148" t="s">
        <v>532</v>
      </c>
      <c r="G13" s="209"/>
      <c r="H13" s="154"/>
      <c r="I13"/>
      <c r="J13"/>
      <c r="K13"/>
      <c r="L13"/>
    </row>
    <row r="14" spans="1:12" ht="108" x14ac:dyDescent="0.2">
      <c r="A14" s="18" t="s">
        <v>456</v>
      </c>
      <c r="B14" s="24" t="s">
        <v>225</v>
      </c>
      <c r="C14" s="17" t="s">
        <v>388</v>
      </c>
      <c r="D14" s="52"/>
      <c r="E14" s="47"/>
      <c r="F14" s="302" t="s">
        <v>607</v>
      </c>
      <c r="G14" s="213"/>
      <c r="H14" s="152"/>
    </row>
    <row r="15" spans="1:12" x14ac:dyDescent="0.2">
      <c r="A15" s="70"/>
      <c r="F15" s="316"/>
    </row>
    <row r="16" spans="1:12" x14ac:dyDescent="0.2">
      <c r="A16" s="147"/>
      <c r="F16" s="317"/>
    </row>
    <row r="17" spans="1:7" x14ac:dyDescent="0.2">
      <c r="A17" s="147"/>
      <c r="F17" s="318"/>
      <c r="G17" s="214"/>
    </row>
    <row r="18" spans="1:7" x14ac:dyDescent="0.2">
      <c r="A18" s="147"/>
      <c r="F18" s="318"/>
      <c r="G18" s="214"/>
    </row>
    <row r="19" spans="1:7" x14ac:dyDescent="0.2">
      <c r="A19" s="147"/>
      <c r="C19" s="19"/>
      <c r="F19" s="317"/>
    </row>
    <row r="20" spans="1:7" x14ac:dyDescent="0.2">
      <c r="F20" s="319"/>
      <c r="G20" s="214"/>
    </row>
    <row r="21" spans="1:7" x14ac:dyDescent="0.2">
      <c r="C21" s="19"/>
      <c r="F21" s="317"/>
      <c r="G21" s="214"/>
    </row>
    <row r="22" spans="1:7" x14ac:dyDescent="0.2">
      <c r="F22" s="317"/>
    </row>
    <row r="23" spans="1:7" x14ac:dyDescent="0.2">
      <c r="F23" s="317"/>
    </row>
    <row r="24" spans="1:7" x14ac:dyDescent="0.2">
      <c r="F24" s="317"/>
    </row>
    <row r="25" spans="1:7" x14ac:dyDescent="0.2">
      <c r="F25" s="320"/>
    </row>
    <row r="26" spans="1:7" x14ac:dyDescent="0.2">
      <c r="F26" s="320"/>
    </row>
    <row r="27" spans="1:7" x14ac:dyDescent="0.2">
      <c r="F27" s="317"/>
    </row>
    <row r="28" spans="1:7" x14ac:dyDescent="0.2">
      <c r="F28" s="317"/>
    </row>
    <row r="29" spans="1:7" x14ac:dyDescent="0.2">
      <c r="F29" s="320"/>
    </row>
    <row r="30" spans="1:7" x14ac:dyDescent="0.2">
      <c r="F30" s="320"/>
    </row>
    <row r="31" spans="1:7" x14ac:dyDescent="0.2">
      <c r="F31" s="320"/>
    </row>
    <row r="32" spans="1:7" x14ac:dyDescent="0.2">
      <c r="F32" s="95"/>
    </row>
  </sheetData>
  <customSheetViews>
    <customSheetView guid="{7FBF45D6-F685-4C77-B0BA-F72AA644D01D}" fitToPage="1" showRuler="0">
      <pane ySplit="4" topLeftCell="A5" activePane="bottomLeft" state="frozen"/>
      <selection pane="bottomLeft" activeCell="D20" sqref="D20"/>
      <pageMargins left="0.75" right="0.75" top="1" bottom="1" header="0.5" footer="0.5"/>
      <pageSetup scale="96" fitToHeight="0" orientation="landscape" r:id="rId1"/>
      <headerFooter alignWithMargins="0">
        <oddHeader>&amp;C&amp;F
DSM-to-Cache - Sunday Post-Conversion</oddHeader>
        <oddFooter>&amp;LDSM-to-Cache Sunday (Post-Conversion)
&amp;C&amp;D&amp;RPage &amp;P of &amp;N Pages</oddFooter>
      </headerFooter>
    </customSheetView>
    <customSheetView guid="{AC2BCB63-8807-499F-9157-FFFCFF89CB73}" showPageBreaks="1" fitToPage="1" printArea="1" showRuler="0">
      <pane ySplit="4" topLeftCell="A5" activePane="bottomLeft" state="frozen"/>
      <selection pane="bottomLeft" activeCell="D20" sqref="D20"/>
      <pageMargins left="0.75" right="0.75" top="1" bottom="1" header="0.5" footer="0.5"/>
      <pageSetup fitToHeight="0" orientation="landscape" r:id="rId2"/>
      <headerFooter alignWithMargins="0">
        <oddHeader>&amp;C&amp;F
DSM-to-Cache - Sunday Post-Conversion</oddHeader>
        <oddFooter>&amp;LDSM-to-Cache Sunday (Post-Conversion)
&amp;C&amp;D&amp;RPage &amp;P of &amp;N Pages</oddFooter>
      </headerFooter>
    </customSheetView>
  </customSheetViews>
  <mergeCells count="9">
    <mergeCell ref="H1:H2"/>
    <mergeCell ref="A3:G3"/>
    <mergeCell ref="A4:G4"/>
    <mergeCell ref="G1:G2"/>
    <mergeCell ref="A1:A2"/>
    <mergeCell ref="B1:B2"/>
    <mergeCell ref="C1:C2"/>
    <mergeCell ref="D1:E1"/>
    <mergeCell ref="F1:F2"/>
  </mergeCells>
  <phoneticPr fontId="9" type="noConversion"/>
  <conditionalFormatting sqref="G1:G1048576">
    <cfRule type="containsText" dxfId="9" priority="1" operator="containsText" text="*in progress*">
      <formula>NOT(ISERROR(SEARCH("*in progress*",G1)))</formula>
    </cfRule>
    <cfRule type="cellIs" dxfId="8" priority="2" operator="between">
      <formula>40179</formula>
      <formula>46022</formula>
    </cfRule>
  </conditionalFormatting>
  <pageMargins left="0.75" right="0.75" top="1" bottom="1" header="0.5" footer="0.5"/>
  <pageSetup scale="98" fitToHeight="0" orientation="landscape" r:id="rId3"/>
  <headerFooter alignWithMargins="0">
    <oddHeader>&amp;C&amp;F
Co-Location Post Move Sunday Tasks</oddHeader>
    <oddFooter>&amp;LCo-Location Post Move Sunday Tasks&amp;C&amp;D&amp;RPage &amp;P of &amp;N Pages</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H30"/>
  <sheetViews>
    <sheetView workbookViewId="0">
      <pane ySplit="5" topLeftCell="A6" activePane="bottomLeft" state="frozen"/>
      <selection pane="bottomLeft" activeCell="F7" sqref="F7"/>
    </sheetView>
  </sheetViews>
  <sheetFormatPr defaultRowHeight="12.75" x14ac:dyDescent="0.2"/>
  <cols>
    <col min="1" max="1" width="8.7109375" customWidth="1"/>
    <col min="2" max="2" width="11.42578125" customWidth="1"/>
    <col min="3" max="3" width="40.7109375" customWidth="1"/>
    <col min="4" max="4" width="17.7109375" bestFit="1" customWidth="1"/>
    <col min="5" max="5" width="16.85546875" style="41" customWidth="1"/>
    <col min="6" max="6" width="10.28515625" style="23" customWidth="1"/>
    <col min="7" max="7" width="29" style="196" customWidth="1"/>
    <col min="8" max="8" width="26.140625" style="41" customWidth="1"/>
  </cols>
  <sheetData>
    <row r="1" spans="1:8" x14ac:dyDescent="0.2">
      <c r="A1" s="474" t="s">
        <v>31</v>
      </c>
      <c r="B1" s="404" t="s">
        <v>567</v>
      </c>
      <c r="C1" s="476" t="s">
        <v>32</v>
      </c>
      <c r="D1" s="471" t="s">
        <v>33</v>
      </c>
      <c r="E1" s="471"/>
      <c r="F1" s="404" t="s">
        <v>160</v>
      </c>
      <c r="G1" s="472" t="s">
        <v>151</v>
      </c>
      <c r="H1" s="469" t="s">
        <v>185</v>
      </c>
    </row>
    <row r="2" spans="1:8" ht="13.5" thickBot="1" x14ac:dyDescent="0.25">
      <c r="A2" s="475"/>
      <c r="B2" s="404"/>
      <c r="C2" s="477"/>
      <c r="D2" s="26" t="s">
        <v>34</v>
      </c>
      <c r="E2" s="40" t="s">
        <v>35</v>
      </c>
      <c r="F2" s="414"/>
      <c r="G2" s="473"/>
      <c r="H2" s="470"/>
    </row>
    <row r="3" spans="1:8" ht="18.75" thickBot="1" x14ac:dyDescent="0.25">
      <c r="A3" s="466" t="s">
        <v>116</v>
      </c>
      <c r="B3" s="467"/>
      <c r="C3" s="467"/>
      <c r="D3" s="467"/>
      <c r="E3" s="467"/>
      <c r="F3" s="467"/>
      <c r="G3" s="467"/>
      <c r="H3" s="467"/>
    </row>
    <row r="4" spans="1:8" ht="13.5" customHeight="1" thickBot="1" x14ac:dyDescent="0.25">
      <c r="A4" s="493" t="s">
        <v>585</v>
      </c>
      <c r="B4" s="494"/>
      <c r="C4" s="494"/>
      <c r="D4" s="494"/>
      <c r="E4" s="494"/>
      <c r="F4" s="494"/>
      <c r="G4" s="494"/>
      <c r="H4" s="494"/>
    </row>
    <row r="5" spans="1:8" ht="15" x14ac:dyDescent="0.2">
      <c r="A5" s="31"/>
      <c r="B5" s="37"/>
      <c r="C5" s="32" t="s">
        <v>123</v>
      </c>
      <c r="D5" s="37"/>
      <c r="E5" s="43"/>
      <c r="F5" s="315"/>
      <c r="G5" s="215"/>
      <c r="H5" s="43"/>
    </row>
    <row r="6" spans="1:8" ht="48" x14ac:dyDescent="0.2">
      <c r="A6" s="46" t="s">
        <v>371</v>
      </c>
      <c r="B6" s="24"/>
      <c r="C6" s="14" t="s">
        <v>70</v>
      </c>
      <c r="D6" s="15"/>
      <c r="E6" s="39"/>
      <c r="F6" s="24" t="s">
        <v>650</v>
      </c>
      <c r="G6" s="216"/>
      <c r="H6" s="39"/>
    </row>
    <row r="7" spans="1:8" x14ac:dyDescent="0.2">
      <c r="A7" s="56" t="s">
        <v>372</v>
      </c>
      <c r="B7" s="24" t="s">
        <v>553</v>
      </c>
      <c r="C7" s="17" t="s">
        <v>150</v>
      </c>
      <c r="D7" s="15"/>
      <c r="E7" s="25"/>
      <c r="F7" s="24" t="s">
        <v>650</v>
      </c>
      <c r="G7" s="216"/>
      <c r="H7" s="25"/>
    </row>
    <row r="8" spans="1:8" ht="24" x14ac:dyDescent="0.2">
      <c r="A8" s="46" t="s">
        <v>373</v>
      </c>
      <c r="B8" s="13" t="s">
        <v>553</v>
      </c>
      <c r="C8" s="14" t="s">
        <v>153</v>
      </c>
      <c r="D8" s="15"/>
      <c r="E8" s="44"/>
      <c r="F8" s="13" t="s">
        <v>612</v>
      </c>
      <c r="G8" s="216"/>
      <c r="H8" s="44"/>
    </row>
    <row r="9" spans="1:8" ht="24" x14ac:dyDescent="0.2">
      <c r="A9" s="56" t="s">
        <v>374</v>
      </c>
      <c r="B9" s="24" t="s">
        <v>576</v>
      </c>
      <c r="C9" s="27" t="s">
        <v>154</v>
      </c>
      <c r="D9" s="15"/>
      <c r="E9" s="45"/>
      <c r="F9" s="24" t="s">
        <v>36</v>
      </c>
      <c r="G9" s="216"/>
      <c r="H9" s="45"/>
    </row>
    <row r="10" spans="1:8" s="70" customFormat="1" ht="60" x14ac:dyDescent="0.2">
      <c r="A10" s="46" t="s">
        <v>375</v>
      </c>
      <c r="B10" s="24" t="s">
        <v>0</v>
      </c>
      <c r="C10" s="17" t="s">
        <v>526</v>
      </c>
      <c r="D10" s="15"/>
      <c r="E10" s="25"/>
      <c r="F10" s="24" t="s">
        <v>543</v>
      </c>
      <c r="G10" s="216"/>
      <c r="H10" s="25"/>
    </row>
    <row r="11" spans="1:8" x14ac:dyDescent="0.2">
      <c r="A11" s="56" t="s">
        <v>376</v>
      </c>
      <c r="B11" s="328" t="s">
        <v>0</v>
      </c>
      <c r="C11" s="17" t="s">
        <v>468</v>
      </c>
      <c r="D11" s="15"/>
      <c r="E11" s="47"/>
      <c r="F11" s="303" t="s">
        <v>36</v>
      </c>
      <c r="G11" s="216"/>
      <c r="H11" s="90"/>
    </row>
    <row r="12" spans="1:8" s="70" customFormat="1" ht="24" x14ac:dyDescent="0.2">
      <c r="A12" s="46" t="s">
        <v>377</v>
      </c>
      <c r="B12" s="332" t="s">
        <v>0</v>
      </c>
      <c r="C12" s="17" t="s">
        <v>473</v>
      </c>
      <c r="D12" s="15"/>
      <c r="E12" s="288"/>
      <c r="F12" s="326" t="s">
        <v>36</v>
      </c>
      <c r="G12" s="216"/>
      <c r="H12" s="289"/>
    </row>
    <row r="13" spans="1:8" s="70" customFormat="1" ht="24" x14ac:dyDescent="0.2">
      <c r="A13" s="56" t="s">
        <v>378</v>
      </c>
      <c r="B13" s="349" t="s">
        <v>0</v>
      </c>
      <c r="C13" s="49" t="s">
        <v>474</v>
      </c>
      <c r="D13" s="350"/>
      <c r="E13" s="351"/>
      <c r="F13" s="352" t="s">
        <v>36</v>
      </c>
      <c r="G13" s="353"/>
      <c r="H13" s="289"/>
    </row>
    <row r="14" spans="1:8" s="70" customFormat="1" ht="24" x14ac:dyDescent="0.2">
      <c r="A14" s="46" t="s">
        <v>379</v>
      </c>
      <c r="B14" s="141" t="s">
        <v>0</v>
      </c>
      <c r="C14" s="358" t="s">
        <v>528</v>
      </c>
      <c r="D14" s="359"/>
      <c r="E14" s="360"/>
      <c r="F14" s="303" t="s">
        <v>36</v>
      </c>
      <c r="G14" s="216"/>
      <c r="H14" s="289"/>
    </row>
    <row r="15" spans="1:8" x14ac:dyDescent="0.2">
      <c r="A15" s="56" t="s">
        <v>380</v>
      </c>
      <c r="B15" s="159" t="s">
        <v>553</v>
      </c>
      <c r="C15" s="354" t="s">
        <v>387</v>
      </c>
      <c r="D15" s="355"/>
      <c r="E15" s="356"/>
      <c r="F15" s="159" t="s">
        <v>532</v>
      </c>
      <c r="G15" s="357"/>
      <c r="H15" s="45"/>
    </row>
    <row r="16" spans="1:8" ht="48" x14ac:dyDescent="0.2">
      <c r="A16" s="56" t="s">
        <v>381</v>
      </c>
      <c r="B16" s="13" t="s">
        <v>553</v>
      </c>
      <c r="C16" s="17" t="s">
        <v>213</v>
      </c>
      <c r="D16" s="52"/>
      <c r="E16" s="47"/>
      <c r="F16" s="13" t="s">
        <v>532</v>
      </c>
      <c r="G16" s="217"/>
      <c r="H16" s="47"/>
    </row>
    <row r="17" spans="1:8" ht="24" x14ac:dyDescent="0.2">
      <c r="A17" s="46" t="s">
        <v>383</v>
      </c>
      <c r="B17" s="28"/>
      <c r="C17" s="14" t="s">
        <v>198</v>
      </c>
      <c r="D17" s="52"/>
      <c r="E17" s="47"/>
      <c r="F17" s="303" t="s">
        <v>532</v>
      </c>
      <c r="G17" s="216"/>
      <c r="H17" s="44"/>
    </row>
    <row r="18" spans="1:8" ht="24" x14ac:dyDescent="0.2">
      <c r="A18" s="56" t="s">
        <v>382</v>
      </c>
      <c r="B18" s="28"/>
      <c r="C18" s="14" t="s">
        <v>199</v>
      </c>
      <c r="D18" s="52"/>
      <c r="E18" s="47"/>
      <c r="F18" s="301" t="s">
        <v>650</v>
      </c>
      <c r="G18" s="216"/>
      <c r="H18" s="44"/>
    </row>
    <row r="19" spans="1:8" x14ac:dyDescent="0.2">
      <c r="A19" s="56" t="s">
        <v>384</v>
      </c>
      <c r="B19" s="28"/>
      <c r="C19" s="14" t="s">
        <v>631</v>
      </c>
      <c r="D19" s="52"/>
      <c r="E19" s="47"/>
      <c r="F19" s="303" t="s">
        <v>532</v>
      </c>
      <c r="G19" s="216"/>
      <c r="H19" s="44"/>
    </row>
    <row r="20" spans="1:8" s="70" customFormat="1" ht="36" x14ac:dyDescent="0.2">
      <c r="A20" s="46" t="s">
        <v>402</v>
      </c>
      <c r="B20" s="28"/>
      <c r="C20" s="17" t="s">
        <v>129</v>
      </c>
      <c r="D20" s="52"/>
      <c r="E20" s="47"/>
      <c r="F20" s="303" t="s">
        <v>612</v>
      </c>
      <c r="G20" s="216"/>
      <c r="H20" s="90"/>
    </row>
    <row r="21" spans="1:8" ht="84" x14ac:dyDescent="0.2">
      <c r="A21" s="56" t="s">
        <v>472</v>
      </c>
      <c r="B21" s="28"/>
      <c r="C21" s="17" t="s">
        <v>529</v>
      </c>
      <c r="D21" s="52"/>
      <c r="E21" s="47"/>
      <c r="F21" s="301" t="s">
        <v>651</v>
      </c>
      <c r="G21" s="216"/>
      <c r="H21" s="47"/>
    </row>
    <row r="22" spans="1:8" x14ac:dyDescent="0.2">
      <c r="F22" s="317"/>
    </row>
    <row r="23" spans="1:8" x14ac:dyDescent="0.2">
      <c r="F23" s="320"/>
    </row>
    <row r="24" spans="1:8" x14ac:dyDescent="0.2">
      <c r="F24" s="320"/>
    </row>
    <row r="25" spans="1:8" x14ac:dyDescent="0.2">
      <c r="F25" s="317"/>
    </row>
    <row r="26" spans="1:8" x14ac:dyDescent="0.2">
      <c r="F26" s="317"/>
    </row>
    <row r="27" spans="1:8" x14ac:dyDescent="0.2">
      <c r="F27" s="320"/>
    </row>
    <row r="28" spans="1:8" x14ac:dyDescent="0.2">
      <c r="F28" s="320"/>
    </row>
    <row r="29" spans="1:8" x14ac:dyDescent="0.2">
      <c r="F29" s="320"/>
    </row>
    <row r="30" spans="1:8" x14ac:dyDescent="0.2">
      <c r="F30" s="95"/>
    </row>
  </sheetData>
  <customSheetViews>
    <customSheetView guid="{7FBF45D6-F685-4C77-B0BA-F72AA644D01D}" fitToPage="1" showRuler="0">
      <pane ySplit="4" topLeftCell="A5" activePane="bottomLeft" state="frozen"/>
      <selection pane="bottomLeft" activeCell="D16" sqref="D16"/>
      <pageMargins left="0.75" right="0.75" top="1" bottom="1" header="0.5" footer="0.5"/>
      <pageSetup scale="97" fitToHeight="0" orientation="landscape" r:id="rId1"/>
      <headerFooter alignWithMargins="0">
        <oddHeader>&amp;C&amp;F
DSM-to-Cache Monday Post-Conversion</oddHeader>
        <oddFooter>&amp;LDSM-to-Cache Monday Post-Conversion&amp;C&amp;D&amp;RPage &amp;P of &amp;N Pages</oddFooter>
      </headerFooter>
    </customSheetView>
    <customSheetView guid="{AC2BCB63-8807-499F-9157-FFFCFF89CB73}" showPageBreaks="1" fitToPage="1" printArea="1" showRuler="0">
      <pane ySplit="4" topLeftCell="A5" activePane="bottomLeft" state="frozen"/>
      <selection pane="bottomLeft" activeCell="D16" sqref="D16"/>
      <pageMargins left="0.75" right="0.75" top="1" bottom="1" header="0.5" footer="0.5"/>
      <pageSetup fitToHeight="0" orientation="landscape" r:id="rId2"/>
      <headerFooter alignWithMargins="0">
        <oddHeader>&amp;C&amp;F
DSM-to-Cache Monday Post-Conversion</oddHeader>
        <oddFooter>&amp;LDSM-to-Cache Monday Post-Conversion&amp;C&amp;D&amp;RPage &amp;P of &amp;N Pages</oddFooter>
      </headerFooter>
    </customSheetView>
  </customSheetViews>
  <mergeCells count="9">
    <mergeCell ref="A3:H3"/>
    <mergeCell ref="A4:H4"/>
    <mergeCell ref="D1:E1"/>
    <mergeCell ref="A1:A2"/>
    <mergeCell ref="B1:B2"/>
    <mergeCell ref="C1:C2"/>
    <mergeCell ref="H1:H2"/>
    <mergeCell ref="F1:F2"/>
    <mergeCell ref="G1:G2"/>
  </mergeCells>
  <phoneticPr fontId="9" type="noConversion"/>
  <conditionalFormatting sqref="G1:G10 G15:G1048576">
    <cfRule type="cellIs" dxfId="7" priority="9" operator="between">
      <formula>40179</formula>
      <formula>46022</formula>
    </cfRule>
    <cfRule type="containsText" dxfId="6" priority="10" operator="containsText" text="*in progress*">
      <formula>NOT(ISERROR(SEARCH("*in progress*",G1)))</formula>
    </cfRule>
  </conditionalFormatting>
  <conditionalFormatting sqref="G11">
    <cfRule type="cellIs" dxfId="5" priority="5" operator="between">
      <formula>40179</formula>
      <formula>46022</formula>
    </cfRule>
    <cfRule type="containsText" dxfId="4" priority="6" operator="containsText" text="*in progress*">
      <formula>NOT(ISERROR(SEARCH("*in progress*",G11)))</formula>
    </cfRule>
  </conditionalFormatting>
  <conditionalFormatting sqref="G12">
    <cfRule type="cellIs" dxfId="3" priority="3" operator="between">
      <formula>40179</formula>
      <formula>46022</formula>
    </cfRule>
    <cfRule type="containsText" dxfId="2" priority="4" operator="containsText" text="*in progress*">
      <formula>NOT(ISERROR(SEARCH("*in progress*",G12)))</formula>
    </cfRule>
  </conditionalFormatting>
  <conditionalFormatting sqref="G13:G14">
    <cfRule type="cellIs" dxfId="1" priority="1" operator="between">
      <formula>40179</formula>
      <formula>46022</formula>
    </cfRule>
    <cfRule type="containsText" dxfId="0" priority="2" operator="containsText" text="*in progress*">
      <formula>NOT(ISERROR(SEARCH("*in progress*",G13)))</formula>
    </cfRule>
  </conditionalFormatting>
  <pageMargins left="0.75" right="0.75" top="1" bottom="1" header="0.5" footer="0.5"/>
  <pageSetup scale="98" fitToHeight="0" orientation="landscape" r:id="rId3"/>
  <headerFooter alignWithMargins="0">
    <oddHeader>&amp;C&amp;F
Co-Location Post Move Monday Tasks</oddHeader>
    <oddFooter>&amp;LCo-Location Post Move Monday Tasks&amp;C&amp;D&amp;RPage &amp;P of &amp;N Pages</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I8"/>
  <sheetViews>
    <sheetView workbookViewId="0">
      <pane ySplit="5" topLeftCell="A6" activePane="bottomLeft" state="frozen"/>
      <selection pane="bottomLeft" activeCell="F8" sqref="F8"/>
    </sheetView>
  </sheetViews>
  <sheetFormatPr defaultRowHeight="12.75" x14ac:dyDescent="0.2"/>
  <cols>
    <col min="1" max="1" width="6.140625" customWidth="1"/>
    <col min="2" max="2" width="13.28515625" customWidth="1"/>
    <col min="3" max="3" width="45.140625" customWidth="1"/>
    <col min="4" max="4" width="17.7109375" bestFit="1" customWidth="1"/>
    <col min="5" max="5" width="16.85546875" style="41" customWidth="1"/>
    <col min="6" max="6" width="17.85546875" style="325" customWidth="1"/>
    <col min="7" max="7" width="37.7109375" style="196" customWidth="1"/>
  </cols>
  <sheetData>
    <row r="1" spans="1:9" ht="12.75" customHeight="1" x14ac:dyDescent="0.2">
      <c r="A1" s="474" t="s">
        <v>31</v>
      </c>
      <c r="B1" s="404" t="s">
        <v>567</v>
      </c>
      <c r="C1" s="476" t="s">
        <v>32</v>
      </c>
      <c r="D1" s="471" t="s">
        <v>33</v>
      </c>
      <c r="E1" s="471"/>
      <c r="F1" s="404" t="s">
        <v>160</v>
      </c>
      <c r="G1" s="472" t="s">
        <v>151</v>
      </c>
    </row>
    <row r="2" spans="1:9" ht="13.5" thickBot="1" x14ac:dyDescent="0.25">
      <c r="A2" s="475"/>
      <c r="B2" s="404"/>
      <c r="C2" s="477"/>
      <c r="D2" s="26" t="s">
        <v>34</v>
      </c>
      <c r="E2" s="40" t="s">
        <v>35</v>
      </c>
      <c r="F2" s="414"/>
      <c r="G2" s="473"/>
    </row>
    <row r="3" spans="1:9" ht="18.75" thickBot="1" x14ac:dyDescent="0.25">
      <c r="A3" s="479" t="s">
        <v>117</v>
      </c>
      <c r="B3" s="480"/>
      <c r="C3" s="480"/>
      <c r="D3" s="480"/>
      <c r="E3" s="480"/>
      <c r="F3" s="480"/>
      <c r="G3" s="496"/>
    </row>
    <row r="4" spans="1:9" ht="13.5" customHeight="1" thickBot="1" x14ac:dyDescent="0.25">
      <c r="A4" s="493" t="s">
        <v>585</v>
      </c>
      <c r="B4" s="494"/>
      <c r="C4" s="494"/>
      <c r="D4" s="494"/>
      <c r="E4" s="494"/>
      <c r="F4" s="494"/>
      <c r="G4" s="495"/>
    </row>
    <row r="5" spans="1:9" ht="15.75" x14ac:dyDescent="0.2">
      <c r="A5" s="48"/>
      <c r="B5" s="37"/>
      <c r="C5" s="32" t="s">
        <v>26</v>
      </c>
      <c r="D5" s="37"/>
      <c r="E5" s="43"/>
      <c r="F5" s="321"/>
      <c r="G5" s="218"/>
    </row>
    <row r="6" spans="1:9" s="70" customFormat="1" ht="24" x14ac:dyDescent="0.2">
      <c r="A6" s="250" t="s">
        <v>96</v>
      </c>
      <c r="B6" s="170"/>
      <c r="C6" s="299" t="s">
        <v>443</v>
      </c>
      <c r="D6" s="15"/>
      <c r="E6" s="295"/>
      <c r="F6" s="322" t="s">
        <v>613</v>
      </c>
      <c r="G6" s="251"/>
    </row>
    <row r="7" spans="1:9" ht="24" x14ac:dyDescent="0.2">
      <c r="A7" s="250" t="s">
        <v>97</v>
      </c>
      <c r="B7" s="28"/>
      <c r="C7" s="299" t="s">
        <v>29</v>
      </c>
      <c r="D7" s="15"/>
      <c r="E7" s="63"/>
      <c r="F7" s="323" t="s">
        <v>532</v>
      </c>
      <c r="G7" s="219"/>
    </row>
    <row r="8" spans="1:9" s="70" customFormat="1" ht="27" customHeight="1" x14ac:dyDescent="0.2">
      <c r="A8" s="250" t="s">
        <v>432</v>
      </c>
      <c r="B8" s="170"/>
      <c r="C8" s="85" t="s">
        <v>419</v>
      </c>
      <c r="D8" s="15"/>
      <c r="E8" s="170"/>
      <c r="F8" s="324" t="s">
        <v>650</v>
      </c>
      <c r="G8" s="251"/>
      <c r="H8" s="252"/>
      <c r="I8" s="51"/>
    </row>
  </sheetData>
  <customSheetViews>
    <customSheetView guid="{7FBF45D6-F685-4C77-B0BA-F72AA644D01D}" fitToPage="1" showRuler="0">
      <pane ySplit="4" topLeftCell="A5" activePane="bottomLeft" state="frozen"/>
      <selection pane="bottomLeft" activeCell="D15" sqref="D15"/>
      <pageMargins left="0.75" right="0.75" top="1" bottom="1" header="0.5" footer="0.5"/>
      <pageSetup scale="96" fitToHeight="0" orientation="landscape" r:id="rId1"/>
      <headerFooter alignWithMargins="0">
        <oddHeader>&amp;C&amp;F
Long Term Post-Conversion</oddHeader>
      </headerFooter>
    </customSheetView>
    <customSheetView guid="{AC2BCB63-8807-499F-9157-FFFCFF89CB73}" showPageBreaks="1" fitToPage="1" printArea="1" showRuler="0">
      <pane ySplit="4" topLeftCell="A5" activePane="bottomLeft" state="frozen"/>
      <selection pane="bottomLeft" activeCell="D15" sqref="D15"/>
      <pageMargins left="0.75" right="0.75" top="1" bottom="1" header="0.5" footer="0.5"/>
      <pageSetup scale="97" fitToHeight="0" orientation="landscape" r:id="rId2"/>
      <headerFooter alignWithMargins="0">
        <oddHeader>&amp;C&amp;F
Long Term Post-Conversion</oddHeader>
      </headerFooter>
    </customSheetView>
  </customSheetViews>
  <mergeCells count="8">
    <mergeCell ref="A4:G4"/>
    <mergeCell ref="D1:E1"/>
    <mergeCell ref="G1:G2"/>
    <mergeCell ref="A3:G3"/>
    <mergeCell ref="A1:A2"/>
    <mergeCell ref="B1:B2"/>
    <mergeCell ref="C1:C2"/>
    <mergeCell ref="F1:F2"/>
  </mergeCells>
  <phoneticPr fontId="9" type="noConversion"/>
  <printOptions horizontalCentered="1"/>
  <pageMargins left="0.75" right="0.75" top="1" bottom="1" header="0.5" footer="0.5"/>
  <pageSetup scale="98" fitToHeight="0" orientation="landscape" r:id="rId3"/>
  <headerFooter alignWithMargins="0">
    <oddHeader>&amp;C&amp;F
Co-Location Long Term Post Move</oddHeader>
    <oddFooter>&amp;LCo-Location Post Move Long Term Tasks&amp;C&amp;D&amp;RPage &amp;P of &amp;N Pages</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13"/>
  <sheetViews>
    <sheetView workbookViewId="0"/>
  </sheetViews>
  <sheetFormatPr defaultRowHeight="12.75" x14ac:dyDescent="0.2"/>
  <cols>
    <col min="2" max="2" width="49.85546875" customWidth="1"/>
  </cols>
  <sheetData>
    <row r="1" spans="1:2" x14ac:dyDescent="0.2">
      <c r="A1" s="2"/>
      <c r="B1" s="7" t="s">
        <v>37</v>
      </c>
    </row>
    <row r="2" spans="1:2" x14ac:dyDescent="0.2">
      <c r="B2" s="7"/>
    </row>
    <row r="3" spans="1:2" x14ac:dyDescent="0.2">
      <c r="A3" s="3"/>
      <c r="B3" s="7" t="s">
        <v>38</v>
      </c>
    </row>
    <row r="4" spans="1:2" x14ac:dyDescent="0.2">
      <c r="B4" s="7"/>
    </row>
    <row r="5" spans="1:2" x14ac:dyDescent="0.2">
      <c r="A5" s="6"/>
      <c r="B5" s="7" t="s">
        <v>40</v>
      </c>
    </row>
    <row r="6" spans="1:2" x14ac:dyDescent="0.2">
      <c r="B6" s="7"/>
    </row>
    <row r="7" spans="1:2" x14ac:dyDescent="0.2">
      <c r="A7" s="1"/>
      <c r="B7" s="7" t="s">
        <v>41</v>
      </c>
    </row>
    <row r="8" spans="1:2" x14ac:dyDescent="0.2">
      <c r="B8" s="7"/>
    </row>
    <row r="9" spans="1:2" x14ac:dyDescent="0.2">
      <c r="A9" s="5"/>
      <c r="B9" s="7" t="s">
        <v>42</v>
      </c>
    </row>
    <row r="10" spans="1:2" x14ac:dyDescent="0.2">
      <c r="B10" s="7"/>
    </row>
    <row r="11" spans="1:2" x14ac:dyDescent="0.2">
      <c r="A11" s="4"/>
      <c r="B11" s="7" t="s">
        <v>43</v>
      </c>
    </row>
    <row r="13" spans="1:2" x14ac:dyDescent="0.2">
      <c r="A13" s="8"/>
      <c r="B13" s="7" t="s">
        <v>44</v>
      </c>
    </row>
  </sheetData>
  <customSheetViews>
    <customSheetView guid="{7FBF45D6-F685-4C77-B0BA-F72AA644D01D}" state="hidden" showRuler="0">
      <pageMargins left="0.75" right="0.75" top="1" bottom="1" header="0.5" footer="0.5"/>
      <pageSetup orientation="landscape" r:id="rId1"/>
      <headerFooter alignWithMargins="0"/>
    </customSheetView>
    <customSheetView guid="{AC2BCB63-8807-499F-9157-FFFCFF89CB73}" state="hidden" showRuler="0">
      <pageMargins left="0.75" right="0.75" top="1" bottom="1" header="0.5" footer="0.5"/>
      <pageSetup orientation="landscape" r:id="rId2"/>
      <headerFooter alignWithMargins="0"/>
    </customSheetView>
  </customSheetViews>
  <phoneticPr fontId="9" type="noConversion"/>
  <pageMargins left="0.75" right="0.75" top="1" bottom="1" header="0.5" footer="0.5"/>
  <pageSetup orientation="landscape" r:id="rId3"/>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1"/>
  <sheetViews>
    <sheetView workbookViewId="0">
      <selection activeCell="C2" sqref="C2"/>
    </sheetView>
  </sheetViews>
  <sheetFormatPr defaultColWidth="9.28515625" defaultRowHeight="12.75" x14ac:dyDescent="0.2"/>
  <cols>
    <col min="1" max="1" width="12.28515625" bestFit="1" customWidth="1"/>
    <col min="2" max="2" width="4.7109375" bestFit="1" customWidth="1"/>
    <col min="3" max="3" width="49.140625" bestFit="1" customWidth="1"/>
    <col min="4" max="4" width="9" bestFit="1" customWidth="1"/>
    <col min="5" max="5" width="3.42578125" bestFit="1" customWidth="1"/>
    <col min="8" max="8" width="31.5703125" bestFit="1" customWidth="1"/>
  </cols>
  <sheetData>
    <row r="1" spans="1:9" x14ac:dyDescent="0.2">
      <c r="A1" t="s">
        <v>394</v>
      </c>
    </row>
    <row r="2" spans="1:9" s="105" customFormat="1" ht="132" x14ac:dyDescent="0.2">
      <c r="A2" s="121" t="s">
        <v>368</v>
      </c>
      <c r="B2" s="108" t="s">
        <v>36</v>
      </c>
      <c r="C2" s="110" t="s">
        <v>202</v>
      </c>
      <c r="D2" s="116" t="s">
        <v>165</v>
      </c>
      <c r="E2" s="123">
        <v>2.2999999999999998</v>
      </c>
      <c r="F2" s="108"/>
      <c r="G2" s="108"/>
      <c r="H2" s="109" t="s">
        <v>339</v>
      </c>
      <c r="I2" s="88"/>
    </row>
    <row r="3" spans="1:9" s="105" customFormat="1" ht="96" x14ac:dyDescent="0.2">
      <c r="A3" s="121" t="s">
        <v>369</v>
      </c>
      <c r="B3" s="108" t="s">
        <v>36</v>
      </c>
      <c r="C3" s="108" t="s">
        <v>321</v>
      </c>
      <c r="D3" s="129"/>
      <c r="E3" s="117"/>
      <c r="F3" s="108"/>
      <c r="G3" s="108"/>
      <c r="H3" s="109" t="s">
        <v>180</v>
      </c>
      <c r="I3" s="88"/>
    </row>
    <row r="4" spans="1:9" s="105" customFormat="1" ht="24" x14ac:dyDescent="0.2">
      <c r="A4" s="121" t="s">
        <v>278</v>
      </c>
      <c r="B4" s="108" t="s">
        <v>36</v>
      </c>
      <c r="C4" s="108" t="s">
        <v>171</v>
      </c>
      <c r="D4" s="129"/>
      <c r="E4" s="117"/>
      <c r="F4" s="108"/>
      <c r="G4" s="108"/>
      <c r="H4" s="109" t="s">
        <v>158</v>
      </c>
      <c r="I4" s="88"/>
    </row>
    <row r="5" spans="1:9" s="133" customFormat="1" ht="120" x14ac:dyDescent="0.2">
      <c r="A5" s="121" t="s">
        <v>279</v>
      </c>
      <c r="B5" s="108" t="s">
        <v>0</v>
      </c>
      <c r="C5" s="108" t="s">
        <v>355</v>
      </c>
      <c r="D5" s="129"/>
      <c r="E5" s="117"/>
      <c r="F5" s="108"/>
      <c r="G5" s="108"/>
      <c r="H5" s="109" t="s">
        <v>204</v>
      </c>
      <c r="I5" s="105"/>
    </row>
    <row r="6" spans="1:9" s="105" customFormat="1" ht="72" x14ac:dyDescent="0.2">
      <c r="A6" s="121" t="s">
        <v>280</v>
      </c>
      <c r="B6" s="108" t="s">
        <v>36</v>
      </c>
      <c r="C6" s="108" t="s">
        <v>322</v>
      </c>
      <c r="D6" s="116"/>
      <c r="E6" s="131"/>
      <c r="F6" s="108"/>
      <c r="G6" s="108"/>
      <c r="H6" s="109" t="s">
        <v>183</v>
      </c>
      <c r="I6" s="88"/>
    </row>
    <row r="8" spans="1:9" s="105" customFormat="1" ht="24" x14ac:dyDescent="0.2">
      <c r="A8" s="130" t="s">
        <v>386</v>
      </c>
      <c r="B8" s="108" t="s">
        <v>36</v>
      </c>
      <c r="C8" s="110" t="s">
        <v>391</v>
      </c>
      <c r="D8" s="116"/>
      <c r="E8" s="122"/>
      <c r="F8" s="108"/>
      <c r="G8" s="108"/>
      <c r="H8" s="109"/>
      <c r="I8" s="88"/>
    </row>
    <row r="9" spans="1:9" s="105" customFormat="1" ht="204" x14ac:dyDescent="0.2">
      <c r="A9" s="121" t="s">
        <v>281</v>
      </c>
      <c r="B9" s="108" t="s">
        <v>36</v>
      </c>
      <c r="C9" s="110" t="s">
        <v>162</v>
      </c>
      <c r="D9" s="116"/>
      <c r="E9" s="111"/>
      <c r="F9" s="108"/>
      <c r="G9" s="108"/>
      <c r="H9" s="109" t="s">
        <v>207</v>
      </c>
      <c r="I9" s="135"/>
    </row>
    <row r="11" spans="1:9" ht="60" x14ac:dyDescent="0.2">
      <c r="A11" s="121" t="s">
        <v>284</v>
      </c>
      <c r="B11" s="108" t="s">
        <v>36</v>
      </c>
      <c r="C11" s="110" t="s">
        <v>163</v>
      </c>
      <c r="D11" s="116" t="s">
        <v>165</v>
      </c>
      <c r="E11" s="111" t="s">
        <v>167</v>
      </c>
      <c r="F11" s="108"/>
      <c r="G11" s="108"/>
      <c r="H11" s="109" t="s">
        <v>182</v>
      </c>
      <c r="I11" s="8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8AF7AC4B4DCF646AAEF13902A3A2411" ma:contentTypeVersion="1" ma:contentTypeDescription="Create a new document." ma:contentTypeScope="" ma:versionID="e0e914d04b8cd0abb9c5a1df097491d2">
  <xsd:schema xmlns:xsd="http://www.w3.org/2001/XMLSchema" xmlns:xs="http://www.w3.org/2001/XMLSchema" xmlns:p="http://schemas.microsoft.com/office/2006/metadata/properties" xmlns:ns2="4ddc35f6-f8ae-466a-86ad-f9c606156661" targetNamespace="http://schemas.microsoft.com/office/2006/metadata/properties" ma:root="true" ma:fieldsID="61840c569b03ae0cec0524b5fdf4a847" ns2:_="">
    <xsd:import namespace="4ddc35f6-f8ae-466a-86ad-f9c606156661"/>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dc35f6-f8ae-466a-86ad-f9c606156661"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lc_DocId xmlns="4ddc35f6-f8ae-466a-86ad-f9c606156661">JFEPFYEQN5FW-543-833</_dlc_DocId>
    <_dlc_DocIdUrl xmlns="4ddc35f6-f8ae-466a-86ad-f9c606156661">
      <Url>https://vaww.vashare.oit.va.gov/sites/euo/svcs/ectm/fis/vistaitaniumcommstds/_layouts/15/DocIdRedir.aspx?ID=JFEPFYEQN5FW-543-833</Url>
      <Description>JFEPFYEQN5FW-543-833</Description>
    </_dlc_DocIdUrl>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AD1F4FEA-7F84-4DC3-96E7-E97E6B4A14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ddc35f6-f8ae-466a-86ad-f9c6061566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4885C6-C28C-4F6E-91F5-42F5CD31E7EB}">
  <ds:schemaRefs>
    <ds:schemaRef ds:uri="http://schemas.microsoft.com/sharepoint/v3/contenttype/forms"/>
  </ds:schemaRefs>
</ds:datastoreItem>
</file>

<file path=customXml/itemProps3.xml><?xml version="1.0" encoding="utf-8"?>
<ds:datastoreItem xmlns:ds="http://schemas.openxmlformats.org/officeDocument/2006/customXml" ds:itemID="{EB6D2C03-CE23-4EC2-9014-832F9C5F94E8}">
  <ds:schemaRefs>
    <ds:schemaRef ds:uri="http://www.w3.org/XML/1998/namespace"/>
    <ds:schemaRef ds:uri="http://purl.org/dc/dcmitype/"/>
    <ds:schemaRef ds:uri="http://purl.org/dc/terms/"/>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4ddc35f6-f8ae-466a-86ad-f9c606156661"/>
  </ds:schemaRefs>
</ds:datastoreItem>
</file>

<file path=customXml/itemProps4.xml><?xml version="1.0" encoding="utf-8"?>
<ds:datastoreItem xmlns:ds="http://schemas.openxmlformats.org/officeDocument/2006/customXml" ds:itemID="{074A0FE9-65BB-4E34-B3BF-A6FB314A85C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System Disk Checklist </vt:lpstr>
      <vt:lpstr>User Disk Checklist</vt:lpstr>
      <vt:lpstr>NDC Info</vt:lpstr>
      <vt:lpstr>PRE-REQUISITES</vt:lpstr>
      <vt:lpstr>SITE prep</vt:lpstr>
      <vt:lpstr>BYN PITC prep</vt:lpstr>
      <vt:lpstr>DB move</vt:lpstr>
      <vt:lpstr>Notifications</vt:lpstr>
      <vt:lpstr>Monday</vt:lpstr>
      <vt:lpstr>Tue</vt:lpstr>
      <vt:lpstr>Wed</vt:lpstr>
      <vt:lpstr>Thur</vt:lpstr>
      <vt:lpstr>Fri</vt:lpstr>
      <vt:lpstr>Sat</vt:lpstr>
      <vt:lpstr>Sun</vt:lpstr>
      <vt:lpstr>Mon</vt:lpstr>
      <vt:lpstr>&gt;1Wk Post</vt:lpstr>
      <vt:lpstr>Color Codes</vt:lpstr>
      <vt:lpstr>Archived_Steps</vt:lpstr>
      <vt:lpstr>'SITE prep'!_Toc150072271</vt:lpstr>
      <vt:lpstr>'SITE prep'!_Toc328983966</vt:lpstr>
      <vt:lpstr>'BYN PITC prep'!Print_Titles</vt:lpstr>
      <vt:lpstr>'DB move'!Print_Titles</vt:lpstr>
      <vt:lpstr>Fri!Print_Titles</vt:lpstr>
      <vt:lpstr>'PRE-REQUISITES'!Print_Titles</vt:lpstr>
      <vt:lpstr>'SITE prep'!Print_Titles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Master_Colocation_OVERALL_CHECKLIST</dc:title>
  <dc:creator>Manzer, Kimberly A.</dc:creator>
  <cp:lastModifiedBy>Richards, Rafael M.</cp:lastModifiedBy>
  <cp:lastPrinted>2008-08-12T21:51:53Z</cp:lastPrinted>
  <dcterms:created xsi:type="dcterms:W3CDTF">2006-06-27T18:59:43Z</dcterms:created>
  <dcterms:modified xsi:type="dcterms:W3CDTF">2019-02-12T23:33:43Z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acility">
    <vt:lpwstr>Wilkes-Barre</vt:lpwstr>
  </property>
  <property fmtid="{D5CDD505-2E9C-101B-9397-08002B2CF9AE}" pid="3" name="Type of Document">
    <vt:lpwstr>Readiness Checklist</vt:lpwstr>
  </property>
  <property fmtid="{D5CDD505-2E9C-101B-9397-08002B2CF9AE}" pid="4" name="Category0">
    <vt:lpwstr>Checklist</vt:lpwstr>
  </property>
  <property fmtid="{D5CDD505-2E9C-101B-9397-08002B2CF9AE}" pid="5" name="Author0">
    <vt:lpwstr/>
  </property>
  <property fmtid="{D5CDD505-2E9C-101B-9397-08002B2CF9AE}" pid="6" name="ContentTypeId">
    <vt:lpwstr>0x01010008AF7AC4B4DCF646AAEF13902A3A2411</vt:lpwstr>
  </property>
  <property fmtid="{D5CDD505-2E9C-101B-9397-08002B2CF9AE}" pid="7" name="_dlc_DocIdItemGuid">
    <vt:lpwstr>d387cfb0-ae00-4934-9bca-715ce7a78b5c</vt:lpwstr>
  </property>
</Properties>
</file>