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wmf" ContentType="image/x-w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3206" codeName="{7A2D7E96-6E34-419A-AE5F-296B3A7E7977}"/>
  <workbookPr codeName="ThisWorkbook" autoCompressPictures="0"/>
  <bookViews>
    <workbookView xWindow="1840" yWindow="0" windowWidth="30660" windowHeight="31040" activeTab="5"/>
  </bookViews>
  <sheets>
    <sheet name="Cover Page" sheetId="1" r:id="rId1"/>
    <sheet name="Read Me" sheetId="2" r:id="rId2"/>
    <sheet name="Measures and Benchmarks" sheetId="3" r:id="rId3"/>
    <sheet name="Metrics" sheetId="4" state="hidden" r:id="rId4"/>
    <sheet name="Metric Details" sheetId="5" r:id="rId5"/>
    <sheet name="Copyright" sheetId="7" r:id="rId6"/>
    <sheet name="(Hidden Sheet)" sheetId="6" state="hidden" r:id="rId7"/>
  </sheets>
  <externalReferences>
    <externalReference r:id="rId8"/>
  </externalReferences>
  <definedNames>
    <definedName name="_89120">'Metric Details'!$H$80</definedName>
    <definedName name="_89121">'Metric Details'!$H$81</definedName>
    <definedName name="_xlnm._FilterDatabase" localSheetId="2" hidden="1">'Measures and Benchmarks'!$A$2:$H$12</definedName>
    <definedName name="_xlnm._FilterDatabase" localSheetId="4" hidden="1">'Metric Details'!$A$1:$AE$81</definedName>
    <definedName name="_xlnm._FilterDatabase" localSheetId="3" hidden="1">Metrics!$A$1:$W$78</definedName>
    <definedName name="Billing_Status">'(Hidden Sheet)'!$L$1:$L$2</definedName>
    <definedName name="Config">'(Hidden Sheet)'!$H$1:$H$3</definedName>
    <definedName name="LDAPlaced">'(Hidden Sheet)'!$D$1:$D$3</definedName>
    <definedName name="LevCase">'[1](Hidden Sheet)'!$A$7:$A$9</definedName>
    <definedName name="LevFlo">'(Hidden Sheet)'!$A$1:$A$3</definedName>
    <definedName name="LevFloSde">'(Hidden Sheet)'!$E$1:$E$7</definedName>
    <definedName name="LevSde">'(Hidden Sheet)'!$B$1:$B$3</definedName>
    <definedName name="MedList">'(Hidden Sheet)'!$F$1:$F$3</definedName>
    <definedName name="Z_53C5DE82_FE17_4722_873D_10749BE7DF83_.wvu.Cols" localSheetId="6" hidden="1">'(Hidden Sheet)'!$U:$W</definedName>
    <definedName name="Z_53C5DE82_FE17_4722_873D_10749BE7DF83_.wvu.Cols" localSheetId="3" hidden="1">Metrics!$E:$N,Metrics!$P:$R</definedName>
    <definedName name="Z_53C5DE82_FE17_4722_873D_10749BE7DF83_.wvu.FilterData" localSheetId="2" hidden="1">'Measures and Benchmarks'!$A$2:$H$12</definedName>
    <definedName name="Z_53C5DE82_FE17_4722_873D_10749BE7DF83_.wvu.FilterData" localSheetId="4" hidden="1">'Metric Details'!$A$1:$K$81</definedName>
    <definedName name="Z_53C5DE82_FE17_4722_873D_10749BE7DF83_.wvu.FilterData" localSheetId="3" hidden="1">Metrics!$A$1:$W$78</definedName>
  </definedNames>
  <calcPr calcId="140001" concurrentCalc="0"/>
  <customWorkbookViews>
    <customWorkbookView name="Anisha Vaswani - Personal View" guid="{53C5DE82-FE17-4722-873D-10749BE7DF83}" mergeInterval="0" personalView="1" maximized="1" xWindow="-8" yWindow="-8" windowWidth="1936" windowHeight="1056" activeSheetId="1"/>
  </customWorkbookViews>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 i="3" l="1"/>
  <c r="E9" i="3"/>
  <c r="G3" i="3"/>
  <c r="E3" i="3"/>
  <c r="G12" i="3"/>
  <c r="G11" i="3"/>
  <c r="G10" i="3"/>
  <c r="G8" i="3"/>
  <c r="G7" i="3"/>
  <c r="G6" i="3"/>
  <c r="G5" i="3"/>
  <c r="G4" i="3"/>
  <c r="E12" i="3"/>
  <c r="E11" i="3"/>
  <c r="E10" i="3"/>
  <c r="E8" i="3"/>
  <c r="E7" i="3"/>
  <c r="E6" i="3"/>
  <c r="E5" i="3"/>
  <c r="E4" i="3"/>
  <c r="E1" i="3"/>
  <c r="F3" i="3"/>
  <c r="F12" i="3"/>
  <c r="F11" i="3"/>
  <c r="F10" i="3"/>
  <c r="F9" i="3"/>
  <c r="F8" i="3"/>
  <c r="F7" i="3"/>
  <c r="F6" i="3"/>
  <c r="F5" i="3"/>
  <c r="U3" i="6"/>
  <c r="V3" i="6"/>
  <c r="U4" i="6"/>
  <c r="V4" i="6"/>
  <c r="U5" i="6"/>
  <c r="V5" i="6"/>
  <c r="U6" i="6"/>
  <c r="V6" i="6"/>
  <c r="U7" i="6"/>
  <c r="V7" i="6"/>
  <c r="U8" i="6"/>
  <c r="V8" i="6"/>
  <c r="U9" i="6"/>
  <c r="V9" i="6"/>
  <c r="U10" i="6"/>
  <c r="V10" i="6"/>
  <c r="U11" i="6"/>
  <c r="V11" i="6"/>
  <c r="U12" i="6"/>
  <c r="V12" i="6"/>
  <c r="U13" i="6"/>
  <c r="V13" i="6"/>
  <c r="U14" i="6"/>
  <c r="V14" i="6"/>
  <c r="U15" i="6"/>
  <c r="V15" i="6"/>
  <c r="U16" i="6"/>
  <c r="V16" i="6"/>
  <c r="U17" i="6"/>
  <c r="V17" i="6"/>
  <c r="U18" i="6"/>
  <c r="V18" i="6"/>
  <c r="U19" i="6"/>
  <c r="V19" i="6"/>
  <c r="U20" i="6"/>
  <c r="V20" i="6"/>
  <c r="U21" i="6"/>
  <c r="V21" i="6"/>
  <c r="U22" i="6"/>
  <c r="V22" i="6"/>
  <c r="U23" i="6"/>
  <c r="V23" i="6"/>
  <c r="U24" i="6"/>
  <c r="V24" i="6"/>
  <c r="U25" i="6"/>
  <c r="V25" i="6"/>
  <c r="U26" i="6"/>
  <c r="V26" i="6"/>
  <c r="U27" i="6"/>
  <c r="V27" i="6"/>
  <c r="U28" i="6"/>
  <c r="V28" i="6"/>
  <c r="U29" i="6"/>
  <c r="V29" i="6"/>
  <c r="U30" i="6"/>
  <c r="V30" i="6"/>
  <c r="U31" i="6"/>
  <c r="V31" i="6"/>
  <c r="U32" i="6"/>
  <c r="V32" i="6"/>
  <c r="U33" i="6"/>
  <c r="V33" i="6"/>
  <c r="U34" i="6"/>
  <c r="V34" i="6"/>
  <c r="U35" i="6"/>
  <c r="V35" i="6"/>
  <c r="U36" i="6"/>
  <c r="V36" i="6"/>
  <c r="U37" i="6"/>
  <c r="V37" i="6"/>
  <c r="U38" i="6"/>
  <c r="V38" i="6"/>
  <c r="U39" i="6"/>
  <c r="V39" i="6"/>
  <c r="U40" i="6"/>
  <c r="V40" i="6"/>
  <c r="U41" i="6"/>
  <c r="V41" i="6"/>
  <c r="U42" i="6"/>
  <c r="V42" i="6"/>
  <c r="U43" i="6"/>
  <c r="V43" i="6"/>
  <c r="U44" i="6"/>
  <c r="V44" i="6"/>
  <c r="U45" i="6"/>
  <c r="V45" i="6"/>
  <c r="U46" i="6"/>
  <c r="V46" i="6"/>
  <c r="U47" i="6"/>
  <c r="V47" i="6"/>
  <c r="U48" i="6"/>
  <c r="V48" i="6"/>
  <c r="U49" i="6"/>
  <c r="V49" i="6"/>
  <c r="U50" i="6"/>
  <c r="V50" i="6"/>
  <c r="U51" i="6"/>
  <c r="V51" i="6"/>
  <c r="U52" i="6"/>
  <c r="V52" i="6"/>
  <c r="U53" i="6"/>
  <c r="V53" i="6"/>
  <c r="U54" i="6"/>
  <c r="V54" i="6"/>
  <c r="U55" i="6"/>
  <c r="V55" i="6"/>
  <c r="U56" i="6"/>
  <c r="V56" i="6"/>
  <c r="U57" i="6"/>
  <c r="V57" i="6"/>
  <c r="U58" i="6"/>
  <c r="V58" i="6"/>
  <c r="U59" i="6"/>
  <c r="V59" i="6"/>
  <c r="U60" i="6"/>
  <c r="V60" i="6"/>
  <c r="U61" i="6"/>
  <c r="V61" i="6"/>
  <c r="U62" i="6"/>
  <c r="V62" i="6"/>
  <c r="U63" i="6"/>
  <c r="V63" i="6"/>
  <c r="U64" i="6"/>
  <c r="V64" i="6"/>
  <c r="U65" i="6"/>
  <c r="V65" i="6"/>
  <c r="U66" i="6"/>
  <c r="V66" i="6"/>
  <c r="U67" i="6"/>
  <c r="V67" i="6"/>
  <c r="U68" i="6"/>
  <c r="V68" i="6"/>
  <c r="U69" i="6"/>
  <c r="V69" i="6"/>
  <c r="U70" i="6"/>
  <c r="V70" i="6"/>
  <c r="U71" i="6"/>
  <c r="V71" i="6"/>
  <c r="U72" i="6"/>
  <c r="V72" i="6"/>
  <c r="U73" i="6"/>
  <c r="V73" i="6"/>
  <c r="U74" i="6"/>
  <c r="V74" i="6"/>
  <c r="U75" i="6"/>
  <c r="V75" i="6"/>
  <c r="U76" i="6"/>
  <c r="V76" i="6"/>
  <c r="U77" i="6"/>
  <c r="V77" i="6"/>
  <c r="U78" i="6"/>
  <c r="V78" i="6"/>
  <c r="U79" i="6"/>
  <c r="V79" i="6"/>
  <c r="U80" i="6"/>
  <c r="V80" i="6"/>
  <c r="U81" i="6"/>
  <c r="V81" i="6"/>
  <c r="U82" i="6"/>
  <c r="V82" i="6"/>
  <c r="U83" i="6"/>
  <c r="V83" i="6"/>
  <c r="U84" i="6"/>
  <c r="V84" i="6"/>
  <c r="U85" i="6"/>
  <c r="V85" i="6"/>
  <c r="U86" i="6"/>
  <c r="V86" i="6"/>
  <c r="U87" i="6"/>
  <c r="V87" i="6"/>
  <c r="U88" i="6"/>
  <c r="V88" i="6"/>
  <c r="U89" i="6"/>
  <c r="V89" i="6"/>
  <c r="U90" i="6"/>
  <c r="V90" i="6"/>
  <c r="U91" i="6"/>
  <c r="V91" i="6"/>
  <c r="U92" i="6"/>
  <c r="V92" i="6"/>
  <c r="U93" i="6"/>
  <c r="V93" i="6"/>
  <c r="U94" i="6"/>
  <c r="V94" i="6"/>
  <c r="U95" i="6"/>
  <c r="V95" i="6"/>
  <c r="U96" i="6"/>
  <c r="V96" i="6"/>
  <c r="U97" i="6"/>
  <c r="V97" i="6"/>
  <c r="U98" i="6"/>
  <c r="V98" i="6"/>
  <c r="U99" i="6"/>
  <c r="V99" i="6"/>
  <c r="U100" i="6"/>
  <c r="V100" i="6"/>
  <c r="U101" i="6"/>
  <c r="V101" i="6"/>
  <c r="U102" i="6"/>
  <c r="V102" i="6"/>
  <c r="U103" i="6"/>
  <c r="V103" i="6"/>
  <c r="U104" i="6"/>
  <c r="V104" i="6"/>
  <c r="U105" i="6"/>
  <c r="V105" i="6"/>
  <c r="U106" i="6"/>
  <c r="V106" i="6"/>
  <c r="U107" i="6"/>
  <c r="V107" i="6"/>
  <c r="U108" i="6"/>
  <c r="V108" i="6"/>
  <c r="U109" i="6"/>
  <c r="V109" i="6"/>
  <c r="U110" i="6"/>
  <c r="V110" i="6"/>
  <c r="U111" i="6"/>
  <c r="V111" i="6"/>
  <c r="U112" i="6"/>
  <c r="V112" i="6"/>
  <c r="U113" i="6"/>
  <c r="V113" i="6"/>
  <c r="U114" i="6"/>
  <c r="V114" i="6"/>
  <c r="U115" i="6"/>
  <c r="V115" i="6"/>
  <c r="U116" i="6"/>
  <c r="V116" i="6"/>
  <c r="U117" i="6"/>
  <c r="V117" i="6"/>
  <c r="U118" i="6"/>
  <c r="V118" i="6"/>
  <c r="U119" i="6"/>
  <c r="V119" i="6"/>
  <c r="U120" i="6"/>
  <c r="V120" i="6"/>
  <c r="U121" i="6"/>
  <c r="V121" i="6"/>
  <c r="U122" i="6"/>
  <c r="V122" i="6"/>
  <c r="U123" i="6"/>
  <c r="V123" i="6"/>
  <c r="U124" i="6"/>
  <c r="V124" i="6"/>
  <c r="U125" i="6"/>
  <c r="V125" i="6"/>
  <c r="U126" i="6"/>
  <c r="V126" i="6"/>
  <c r="U127" i="6"/>
  <c r="V127" i="6"/>
  <c r="U128" i="6"/>
  <c r="V128" i="6"/>
  <c r="U129" i="6"/>
  <c r="V129" i="6"/>
  <c r="U130" i="6"/>
  <c r="V130" i="6"/>
  <c r="U131" i="6"/>
  <c r="V131" i="6"/>
  <c r="U132" i="6"/>
  <c r="V132" i="6"/>
  <c r="U133" i="6"/>
  <c r="V133" i="6"/>
  <c r="U134" i="6"/>
  <c r="V134" i="6"/>
  <c r="U135" i="6"/>
  <c r="V135" i="6"/>
  <c r="U136" i="6"/>
  <c r="V136" i="6"/>
  <c r="U137" i="6"/>
  <c r="V137" i="6"/>
  <c r="U138" i="6"/>
  <c r="V138" i="6"/>
  <c r="U139" i="6"/>
  <c r="V139" i="6"/>
  <c r="U140" i="6"/>
  <c r="V140" i="6"/>
  <c r="U141" i="6"/>
  <c r="V141" i="6"/>
  <c r="U142" i="6"/>
  <c r="V142" i="6"/>
  <c r="U143" i="6"/>
  <c r="V143" i="6"/>
  <c r="U144" i="6"/>
  <c r="V144" i="6"/>
  <c r="U145" i="6"/>
  <c r="V145" i="6"/>
  <c r="U146" i="6"/>
  <c r="V146" i="6"/>
  <c r="U147" i="6"/>
  <c r="V147" i="6"/>
  <c r="U148" i="6"/>
  <c r="V148" i="6"/>
  <c r="U149" i="6"/>
  <c r="V149" i="6"/>
  <c r="U150" i="6"/>
  <c r="V150" i="6"/>
  <c r="U151" i="6"/>
  <c r="V151" i="6"/>
  <c r="U152" i="6"/>
  <c r="V152" i="6"/>
  <c r="U153" i="6"/>
  <c r="V153" i="6"/>
  <c r="U154" i="6"/>
  <c r="V154" i="6"/>
  <c r="U155" i="6"/>
  <c r="V155" i="6"/>
  <c r="U156" i="6"/>
  <c r="V156" i="6"/>
  <c r="U157" i="6"/>
  <c r="V157" i="6"/>
  <c r="U158" i="6"/>
  <c r="V158" i="6"/>
  <c r="U159" i="6"/>
  <c r="V159" i="6"/>
  <c r="U160" i="6"/>
  <c r="V160" i="6"/>
  <c r="U161" i="6"/>
  <c r="V161" i="6"/>
  <c r="U162" i="6"/>
  <c r="V162" i="6"/>
  <c r="U163" i="6"/>
  <c r="V163" i="6"/>
  <c r="U164" i="6"/>
  <c r="V164" i="6"/>
  <c r="U165" i="6"/>
  <c r="V165" i="6"/>
  <c r="U166" i="6"/>
  <c r="V166" i="6"/>
  <c r="U167" i="6"/>
  <c r="V167" i="6"/>
  <c r="U168" i="6"/>
  <c r="V168" i="6"/>
  <c r="U169" i="6"/>
  <c r="V169" i="6"/>
  <c r="U170" i="6"/>
  <c r="V170" i="6"/>
  <c r="U171" i="6"/>
  <c r="V171" i="6"/>
  <c r="U172" i="6"/>
  <c r="V172" i="6"/>
  <c r="U173" i="6"/>
  <c r="V173" i="6"/>
  <c r="U174" i="6"/>
  <c r="V174" i="6"/>
  <c r="U175" i="6"/>
  <c r="V175" i="6"/>
  <c r="U176" i="6"/>
  <c r="V176" i="6"/>
  <c r="U177" i="6"/>
  <c r="V177" i="6"/>
  <c r="U178" i="6"/>
  <c r="V178" i="6"/>
  <c r="U179" i="6"/>
  <c r="V179" i="6"/>
  <c r="U180" i="6"/>
  <c r="V180" i="6"/>
  <c r="U181" i="6"/>
  <c r="V181" i="6"/>
  <c r="U182" i="6"/>
  <c r="V182" i="6"/>
  <c r="U183" i="6"/>
  <c r="V183" i="6"/>
  <c r="U184" i="6"/>
  <c r="V184" i="6"/>
  <c r="U185" i="6"/>
  <c r="V185" i="6"/>
  <c r="U186" i="6"/>
  <c r="V186" i="6"/>
  <c r="U187" i="6"/>
  <c r="V187" i="6"/>
  <c r="U188" i="6"/>
  <c r="V188" i="6"/>
  <c r="U189" i="6"/>
  <c r="V189" i="6"/>
  <c r="U190" i="6"/>
  <c r="V190" i="6"/>
  <c r="U191" i="6"/>
  <c r="V191" i="6"/>
  <c r="U192" i="6"/>
  <c r="V192" i="6"/>
  <c r="U193" i="6"/>
  <c r="V193" i="6"/>
  <c r="U194" i="6"/>
  <c r="V194" i="6"/>
  <c r="U195" i="6"/>
  <c r="V195" i="6"/>
  <c r="U196" i="6"/>
  <c r="V196" i="6"/>
  <c r="U197" i="6"/>
  <c r="V197" i="6"/>
  <c r="U198" i="6"/>
  <c r="V198" i="6"/>
  <c r="U199" i="6"/>
  <c r="V199" i="6"/>
  <c r="U200" i="6"/>
  <c r="V200" i="6"/>
  <c r="U201" i="6"/>
  <c r="V201" i="6"/>
  <c r="U202" i="6"/>
  <c r="V202" i="6"/>
  <c r="U203" i="6"/>
  <c r="V203" i="6"/>
  <c r="U204" i="6"/>
  <c r="V204" i="6"/>
  <c r="U205" i="6"/>
  <c r="V205" i="6"/>
  <c r="U206" i="6"/>
  <c r="V206" i="6"/>
  <c r="U207" i="6"/>
  <c r="V207" i="6"/>
  <c r="U208" i="6"/>
  <c r="V208" i="6"/>
  <c r="U209" i="6"/>
  <c r="V209" i="6"/>
  <c r="U210" i="6"/>
  <c r="V210" i="6"/>
  <c r="U211" i="6"/>
  <c r="V211" i="6"/>
  <c r="U212" i="6"/>
  <c r="V212" i="6"/>
  <c r="U213" i="6"/>
  <c r="V213" i="6"/>
  <c r="U214" i="6"/>
  <c r="V214" i="6"/>
  <c r="U215" i="6"/>
  <c r="V215" i="6"/>
  <c r="U216" i="6"/>
  <c r="V216" i="6"/>
  <c r="U217" i="6"/>
  <c r="V217" i="6"/>
  <c r="U218" i="6"/>
  <c r="V218" i="6"/>
  <c r="U219" i="6"/>
  <c r="V219" i="6"/>
  <c r="U220" i="6"/>
  <c r="V220" i="6"/>
  <c r="U221" i="6"/>
  <c r="V221" i="6"/>
  <c r="U222" i="6"/>
  <c r="V222" i="6"/>
  <c r="U223" i="6"/>
  <c r="V223" i="6"/>
  <c r="U224" i="6"/>
  <c r="V224" i="6"/>
  <c r="U225" i="6"/>
  <c r="V225" i="6"/>
  <c r="U226" i="6"/>
  <c r="V226" i="6"/>
  <c r="U227" i="6"/>
  <c r="V227" i="6"/>
  <c r="U228" i="6"/>
  <c r="V228" i="6"/>
  <c r="U229" i="6"/>
  <c r="V229" i="6"/>
  <c r="U230" i="6"/>
  <c r="V230" i="6"/>
  <c r="U231" i="6"/>
  <c r="V231" i="6"/>
  <c r="U232" i="6"/>
  <c r="V232" i="6"/>
  <c r="U233" i="6"/>
  <c r="V233" i="6"/>
  <c r="U234" i="6"/>
  <c r="V234" i="6"/>
  <c r="U235" i="6"/>
  <c r="V235" i="6"/>
  <c r="U236" i="6"/>
  <c r="V236" i="6"/>
  <c r="U237" i="6"/>
  <c r="V237" i="6"/>
  <c r="U238" i="6"/>
  <c r="V238" i="6"/>
  <c r="U239" i="6"/>
  <c r="V239" i="6"/>
  <c r="U240" i="6"/>
  <c r="V240" i="6"/>
  <c r="U241" i="6"/>
  <c r="V241" i="6"/>
  <c r="U242" i="6"/>
  <c r="V242" i="6"/>
  <c r="U243" i="6"/>
  <c r="V243" i="6"/>
  <c r="U244" i="6"/>
  <c r="V244" i="6"/>
  <c r="U245" i="6"/>
  <c r="V245" i="6"/>
  <c r="U246" i="6"/>
  <c r="V246" i="6"/>
  <c r="U247" i="6"/>
  <c r="V247" i="6"/>
  <c r="U248" i="6"/>
  <c r="V248" i="6"/>
  <c r="U249" i="6"/>
  <c r="V249" i="6"/>
  <c r="U250" i="6"/>
  <c r="V250" i="6"/>
  <c r="U251" i="6"/>
  <c r="V251" i="6"/>
  <c r="U252" i="6"/>
  <c r="V252" i="6"/>
  <c r="U253" i="6"/>
  <c r="V253" i="6"/>
  <c r="U254" i="6"/>
  <c r="V254" i="6"/>
  <c r="U255" i="6"/>
  <c r="V255" i="6"/>
  <c r="U256" i="6"/>
  <c r="V256" i="6"/>
  <c r="U257" i="6"/>
  <c r="V257" i="6"/>
  <c r="U258" i="6"/>
  <c r="V258" i="6"/>
  <c r="U259" i="6"/>
  <c r="V259" i="6"/>
  <c r="U260" i="6"/>
  <c r="V260" i="6"/>
  <c r="U261" i="6"/>
  <c r="V261" i="6"/>
  <c r="U262" i="6"/>
  <c r="V262" i="6"/>
  <c r="U263" i="6"/>
  <c r="V263" i="6"/>
  <c r="U264" i="6"/>
  <c r="V264" i="6"/>
  <c r="U265" i="6"/>
  <c r="V265" i="6"/>
  <c r="U266" i="6"/>
  <c r="V266" i="6"/>
  <c r="U267" i="6"/>
  <c r="V267" i="6"/>
  <c r="U268" i="6"/>
  <c r="V268" i="6"/>
  <c r="U269" i="6"/>
  <c r="V269" i="6"/>
  <c r="U270" i="6"/>
  <c r="V270" i="6"/>
  <c r="U271" i="6"/>
  <c r="V271" i="6"/>
  <c r="U272" i="6"/>
  <c r="V272" i="6"/>
  <c r="U273" i="6"/>
  <c r="V273" i="6"/>
  <c r="U274" i="6"/>
  <c r="V274" i="6"/>
  <c r="U275" i="6"/>
  <c r="V275" i="6"/>
  <c r="U276" i="6"/>
  <c r="V276" i="6"/>
  <c r="U277" i="6"/>
  <c r="V277" i="6"/>
  <c r="U278" i="6"/>
  <c r="V278" i="6"/>
  <c r="U279" i="6"/>
  <c r="V279" i="6"/>
  <c r="U280" i="6"/>
  <c r="V280" i="6"/>
  <c r="U281" i="6"/>
  <c r="V281" i="6"/>
  <c r="U282" i="6"/>
  <c r="V282" i="6"/>
  <c r="U283" i="6"/>
  <c r="V283" i="6"/>
  <c r="U284" i="6"/>
  <c r="V284" i="6"/>
  <c r="U285" i="6"/>
  <c r="V285" i="6"/>
  <c r="U286" i="6"/>
  <c r="V286" i="6"/>
  <c r="U287" i="6"/>
  <c r="V287" i="6"/>
  <c r="U288" i="6"/>
  <c r="V288" i="6"/>
  <c r="U289" i="6"/>
  <c r="V289" i="6"/>
  <c r="U290" i="6"/>
  <c r="V290" i="6"/>
  <c r="U291" i="6"/>
  <c r="V291" i="6"/>
  <c r="U292" i="6"/>
  <c r="V292" i="6"/>
  <c r="U293" i="6"/>
  <c r="V293" i="6"/>
  <c r="U294" i="6"/>
  <c r="V294" i="6"/>
  <c r="U295" i="6"/>
  <c r="V295" i="6"/>
  <c r="U296" i="6"/>
  <c r="V296" i="6"/>
  <c r="U297" i="6"/>
  <c r="V297" i="6"/>
  <c r="U298" i="6"/>
  <c r="V298" i="6"/>
  <c r="U299" i="6"/>
  <c r="V299" i="6"/>
  <c r="U300" i="6"/>
  <c r="V300" i="6"/>
  <c r="U301" i="6"/>
  <c r="V301" i="6"/>
  <c r="U302" i="6"/>
  <c r="V302" i="6"/>
  <c r="U303" i="6"/>
  <c r="V303" i="6"/>
  <c r="U304" i="6"/>
  <c r="V304" i="6"/>
  <c r="U305" i="6"/>
  <c r="V305" i="6"/>
  <c r="U306" i="6"/>
  <c r="V306" i="6"/>
  <c r="U307" i="6"/>
  <c r="V307" i="6"/>
  <c r="U308" i="6"/>
  <c r="V308" i="6"/>
  <c r="U309" i="6"/>
  <c r="V309" i="6"/>
  <c r="U310" i="6"/>
  <c r="V310" i="6"/>
  <c r="U311" i="6"/>
  <c r="V311" i="6"/>
  <c r="U312" i="6"/>
  <c r="V312" i="6"/>
  <c r="U313" i="6"/>
  <c r="V313" i="6"/>
  <c r="U314" i="6"/>
  <c r="V314" i="6"/>
  <c r="U315" i="6"/>
  <c r="V315" i="6"/>
  <c r="U316" i="6"/>
  <c r="V316" i="6"/>
  <c r="U317" i="6"/>
  <c r="V317" i="6"/>
  <c r="U318" i="6"/>
  <c r="V318" i="6"/>
  <c r="U319" i="6"/>
  <c r="V319" i="6"/>
  <c r="U320" i="6"/>
  <c r="V320" i="6"/>
  <c r="U321" i="6"/>
  <c r="V321" i="6"/>
  <c r="U322" i="6"/>
  <c r="V322" i="6"/>
  <c r="U323" i="6"/>
  <c r="V323" i="6"/>
  <c r="U324" i="6"/>
  <c r="V324" i="6"/>
  <c r="U325" i="6"/>
  <c r="V325" i="6"/>
  <c r="U326" i="6"/>
  <c r="V326" i="6"/>
  <c r="U327" i="6"/>
  <c r="V327" i="6"/>
  <c r="U328" i="6"/>
  <c r="V328" i="6"/>
  <c r="U329" i="6"/>
  <c r="V329" i="6"/>
  <c r="U330" i="6"/>
  <c r="V330" i="6"/>
  <c r="U331" i="6"/>
  <c r="V331" i="6"/>
  <c r="U332" i="6"/>
  <c r="V332" i="6"/>
  <c r="U333" i="6"/>
  <c r="V333" i="6"/>
  <c r="U334" i="6"/>
  <c r="V334" i="6"/>
  <c r="U335" i="6"/>
  <c r="V335" i="6"/>
  <c r="U336" i="6"/>
  <c r="V336" i="6"/>
  <c r="U337" i="6"/>
  <c r="V337" i="6"/>
  <c r="U338" i="6"/>
  <c r="V338" i="6"/>
  <c r="U339" i="6"/>
  <c r="V339" i="6"/>
  <c r="U340" i="6"/>
  <c r="V340" i="6"/>
  <c r="U341" i="6"/>
  <c r="V341" i="6"/>
  <c r="U342" i="6"/>
  <c r="V342" i="6"/>
  <c r="U343" i="6"/>
  <c r="V343" i="6"/>
  <c r="U344" i="6"/>
  <c r="V344" i="6"/>
  <c r="U345" i="6"/>
  <c r="V345" i="6"/>
  <c r="U346" i="6"/>
  <c r="V346" i="6"/>
  <c r="U347" i="6"/>
  <c r="V347" i="6"/>
  <c r="U348" i="6"/>
  <c r="V348" i="6"/>
  <c r="U349" i="6"/>
  <c r="V349" i="6"/>
  <c r="U350" i="6"/>
  <c r="V350" i="6"/>
  <c r="U351" i="6"/>
  <c r="V351" i="6"/>
  <c r="U352" i="6"/>
  <c r="V352" i="6"/>
  <c r="U353" i="6"/>
  <c r="V353" i="6"/>
  <c r="U354" i="6"/>
  <c r="V354" i="6"/>
  <c r="U355" i="6"/>
  <c r="V355" i="6"/>
  <c r="U356" i="6"/>
  <c r="V356" i="6"/>
  <c r="U357" i="6"/>
  <c r="V357" i="6"/>
  <c r="U358" i="6"/>
  <c r="V358" i="6"/>
  <c r="U359" i="6"/>
  <c r="V359" i="6"/>
  <c r="U360" i="6"/>
  <c r="V360" i="6"/>
  <c r="U361" i="6"/>
  <c r="V361" i="6"/>
  <c r="U362" i="6"/>
  <c r="V362" i="6"/>
  <c r="U363" i="6"/>
  <c r="V363" i="6"/>
  <c r="U364" i="6"/>
  <c r="V364" i="6"/>
  <c r="U365" i="6"/>
  <c r="V365" i="6"/>
  <c r="U366" i="6"/>
  <c r="V366" i="6"/>
  <c r="U367" i="6"/>
  <c r="V367" i="6"/>
  <c r="U368" i="6"/>
  <c r="V368" i="6"/>
  <c r="U369" i="6"/>
  <c r="V369" i="6"/>
  <c r="U370" i="6"/>
  <c r="V370" i="6"/>
  <c r="U371" i="6"/>
  <c r="V371" i="6"/>
  <c r="U372" i="6"/>
  <c r="V372" i="6"/>
  <c r="U373" i="6"/>
  <c r="V373" i="6"/>
  <c r="U374" i="6"/>
  <c r="V374" i="6"/>
  <c r="U375" i="6"/>
  <c r="V375" i="6"/>
  <c r="U376" i="6"/>
  <c r="V376" i="6"/>
  <c r="U377" i="6"/>
  <c r="V377" i="6"/>
  <c r="U378" i="6"/>
  <c r="V378" i="6"/>
  <c r="U379" i="6"/>
  <c r="V379" i="6"/>
  <c r="U380" i="6"/>
  <c r="V380" i="6"/>
  <c r="U381" i="6"/>
  <c r="V381" i="6"/>
  <c r="U382" i="6"/>
  <c r="V382" i="6"/>
  <c r="U383" i="6"/>
  <c r="V383" i="6"/>
  <c r="U384" i="6"/>
  <c r="V384" i="6"/>
  <c r="U385" i="6"/>
  <c r="V385" i="6"/>
  <c r="U386" i="6"/>
  <c r="V386" i="6"/>
  <c r="U387" i="6"/>
  <c r="V387" i="6"/>
  <c r="U388" i="6"/>
  <c r="V388" i="6"/>
  <c r="U389" i="6"/>
  <c r="V389" i="6"/>
  <c r="U390" i="6"/>
  <c r="V390" i="6"/>
  <c r="U391" i="6"/>
  <c r="V391" i="6"/>
  <c r="U392" i="6"/>
  <c r="V392" i="6"/>
  <c r="U393" i="6"/>
  <c r="V393" i="6"/>
  <c r="U394" i="6"/>
  <c r="V394" i="6"/>
  <c r="U395" i="6"/>
  <c r="V395" i="6"/>
  <c r="U396" i="6"/>
  <c r="V396" i="6"/>
  <c r="U397" i="6"/>
  <c r="V397" i="6"/>
  <c r="U398" i="6"/>
  <c r="V398" i="6"/>
  <c r="U399" i="6"/>
  <c r="V399" i="6"/>
  <c r="U400" i="6"/>
  <c r="V400" i="6"/>
  <c r="U401" i="6"/>
  <c r="V401" i="6"/>
  <c r="U402" i="6"/>
  <c r="V402" i="6"/>
  <c r="U403" i="6"/>
  <c r="V403" i="6"/>
  <c r="U404" i="6"/>
  <c r="V404" i="6"/>
  <c r="U405" i="6"/>
  <c r="V405" i="6"/>
  <c r="U406" i="6"/>
  <c r="V406" i="6"/>
  <c r="U407" i="6"/>
  <c r="V407" i="6"/>
  <c r="U408" i="6"/>
  <c r="V408" i="6"/>
  <c r="U409" i="6"/>
  <c r="V409" i="6"/>
  <c r="U410" i="6"/>
  <c r="V410" i="6"/>
  <c r="U411" i="6"/>
  <c r="V411" i="6"/>
  <c r="U412" i="6"/>
  <c r="V412" i="6"/>
  <c r="U413" i="6"/>
  <c r="V413" i="6"/>
  <c r="U414" i="6"/>
  <c r="V414" i="6"/>
  <c r="U415" i="6"/>
  <c r="V415" i="6"/>
  <c r="U416" i="6"/>
  <c r="V416" i="6"/>
  <c r="U417" i="6"/>
  <c r="V417" i="6"/>
  <c r="U418" i="6"/>
  <c r="V418" i="6"/>
  <c r="U419" i="6"/>
  <c r="V419" i="6"/>
  <c r="U420" i="6"/>
  <c r="V420" i="6"/>
  <c r="U421" i="6"/>
  <c r="V421" i="6"/>
  <c r="U422" i="6"/>
  <c r="V422" i="6"/>
  <c r="U423" i="6"/>
  <c r="V423" i="6"/>
  <c r="U424" i="6"/>
  <c r="V424" i="6"/>
  <c r="U425" i="6"/>
  <c r="V425" i="6"/>
  <c r="U426" i="6"/>
  <c r="V426" i="6"/>
  <c r="U427" i="6"/>
  <c r="V427" i="6"/>
  <c r="U428" i="6"/>
  <c r="V428" i="6"/>
  <c r="U429" i="6"/>
  <c r="V429" i="6"/>
  <c r="U430" i="6"/>
  <c r="V430" i="6"/>
  <c r="U431" i="6"/>
  <c r="V431" i="6"/>
  <c r="U432" i="6"/>
  <c r="V432" i="6"/>
  <c r="U433" i="6"/>
  <c r="V433" i="6"/>
  <c r="U434" i="6"/>
  <c r="V434" i="6"/>
  <c r="U435" i="6"/>
  <c r="V435" i="6"/>
  <c r="U436" i="6"/>
  <c r="V436" i="6"/>
  <c r="U437" i="6"/>
  <c r="V437" i="6"/>
  <c r="U438" i="6"/>
  <c r="V438" i="6"/>
  <c r="U439" i="6"/>
  <c r="V439" i="6"/>
  <c r="U440" i="6"/>
  <c r="V440" i="6"/>
  <c r="U441" i="6"/>
  <c r="V441" i="6"/>
  <c r="U442" i="6"/>
  <c r="V442" i="6"/>
  <c r="U443" i="6"/>
  <c r="V443" i="6"/>
  <c r="U444" i="6"/>
  <c r="V444" i="6"/>
  <c r="U445" i="6"/>
  <c r="V445" i="6"/>
  <c r="U446" i="6"/>
  <c r="V446" i="6"/>
  <c r="U447" i="6"/>
  <c r="V447" i="6"/>
  <c r="U448" i="6"/>
  <c r="V448" i="6"/>
  <c r="U449" i="6"/>
  <c r="V449" i="6"/>
  <c r="U450" i="6"/>
  <c r="V450" i="6"/>
  <c r="U451" i="6"/>
  <c r="V451" i="6"/>
  <c r="U452" i="6"/>
  <c r="V452" i="6"/>
  <c r="U453" i="6"/>
  <c r="V453" i="6"/>
  <c r="U454" i="6"/>
  <c r="V454" i="6"/>
  <c r="U455" i="6"/>
  <c r="V455" i="6"/>
  <c r="U456" i="6"/>
  <c r="V456" i="6"/>
  <c r="U457" i="6"/>
  <c r="V457" i="6"/>
  <c r="U458" i="6"/>
  <c r="V458" i="6"/>
  <c r="U459" i="6"/>
  <c r="V459" i="6"/>
  <c r="U460" i="6"/>
  <c r="V460" i="6"/>
  <c r="U461" i="6"/>
  <c r="V461" i="6"/>
  <c r="U462" i="6"/>
  <c r="V462" i="6"/>
  <c r="U463" i="6"/>
  <c r="V463" i="6"/>
  <c r="U464" i="6"/>
  <c r="V464" i="6"/>
  <c r="U465" i="6"/>
  <c r="V465" i="6"/>
  <c r="U466" i="6"/>
  <c r="V466" i="6"/>
  <c r="U467" i="6"/>
  <c r="V467" i="6"/>
  <c r="U468" i="6"/>
  <c r="V468" i="6"/>
  <c r="U469" i="6"/>
  <c r="V469" i="6"/>
  <c r="U470" i="6"/>
  <c r="V470" i="6"/>
  <c r="U471" i="6"/>
  <c r="V471" i="6"/>
  <c r="U472" i="6"/>
  <c r="V472" i="6"/>
  <c r="U473" i="6"/>
  <c r="V473" i="6"/>
  <c r="U474" i="6"/>
  <c r="V474" i="6"/>
  <c r="U475" i="6"/>
  <c r="V475" i="6"/>
  <c r="U476" i="6"/>
  <c r="V476" i="6"/>
  <c r="U477" i="6"/>
  <c r="V477" i="6"/>
  <c r="U478" i="6"/>
  <c r="V478" i="6"/>
  <c r="U479" i="6"/>
  <c r="V479" i="6"/>
  <c r="U480" i="6"/>
  <c r="V480" i="6"/>
  <c r="U481" i="6"/>
  <c r="V481" i="6"/>
  <c r="U482" i="6"/>
  <c r="V482" i="6"/>
  <c r="U483" i="6"/>
  <c r="V483" i="6"/>
  <c r="U484" i="6"/>
  <c r="V484" i="6"/>
  <c r="U485" i="6"/>
  <c r="V485" i="6"/>
  <c r="U486" i="6"/>
  <c r="V486" i="6"/>
  <c r="U487" i="6"/>
  <c r="V487" i="6"/>
  <c r="U488" i="6"/>
  <c r="V488" i="6"/>
  <c r="U489" i="6"/>
  <c r="V489" i="6"/>
  <c r="U490" i="6"/>
  <c r="V490" i="6"/>
  <c r="U491" i="6"/>
  <c r="V491" i="6"/>
  <c r="U492" i="6"/>
  <c r="V492" i="6"/>
  <c r="U493" i="6"/>
  <c r="V493" i="6"/>
  <c r="U494" i="6"/>
  <c r="V494" i="6"/>
  <c r="U495" i="6"/>
  <c r="V495" i="6"/>
  <c r="U496" i="6"/>
  <c r="V496" i="6"/>
  <c r="U497" i="6"/>
  <c r="V497" i="6"/>
  <c r="U498" i="6"/>
  <c r="V498" i="6"/>
  <c r="U499" i="6"/>
  <c r="V499" i="6"/>
  <c r="U500" i="6"/>
  <c r="V500" i="6"/>
  <c r="U501" i="6"/>
  <c r="V501" i="6"/>
  <c r="U502" i="6"/>
  <c r="V502" i="6"/>
  <c r="U503" i="6"/>
  <c r="V503" i="6"/>
  <c r="U504" i="6"/>
  <c r="V504" i="6"/>
  <c r="U505" i="6"/>
  <c r="V505" i="6"/>
  <c r="U506" i="6"/>
  <c r="V506" i="6"/>
  <c r="U507" i="6"/>
  <c r="V507" i="6"/>
  <c r="U508" i="6"/>
  <c r="V508" i="6"/>
  <c r="U509" i="6"/>
  <c r="V509" i="6"/>
  <c r="U510" i="6"/>
  <c r="V510" i="6"/>
  <c r="U511" i="6"/>
  <c r="V511" i="6"/>
  <c r="U512" i="6"/>
  <c r="V512" i="6"/>
  <c r="U513" i="6"/>
  <c r="V513" i="6"/>
  <c r="U514" i="6"/>
  <c r="V514" i="6"/>
  <c r="U515" i="6"/>
  <c r="V515" i="6"/>
  <c r="U516" i="6"/>
  <c r="V516" i="6"/>
  <c r="U517" i="6"/>
  <c r="V517" i="6"/>
  <c r="U518" i="6"/>
  <c r="V518" i="6"/>
  <c r="U519" i="6"/>
  <c r="V519" i="6"/>
  <c r="U520" i="6"/>
  <c r="V520" i="6"/>
  <c r="U521" i="6"/>
  <c r="V521" i="6"/>
  <c r="U522" i="6"/>
  <c r="V522" i="6"/>
  <c r="U523" i="6"/>
  <c r="V523" i="6"/>
  <c r="U524" i="6"/>
  <c r="V524" i="6"/>
  <c r="U525" i="6"/>
  <c r="V525" i="6"/>
  <c r="U526" i="6"/>
  <c r="V526" i="6"/>
  <c r="U527" i="6"/>
  <c r="V527" i="6"/>
  <c r="U528" i="6"/>
  <c r="V528" i="6"/>
  <c r="U529" i="6"/>
  <c r="V529" i="6"/>
  <c r="U530" i="6"/>
  <c r="V530" i="6"/>
  <c r="U531" i="6"/>
  <c r="V531" i="6"/>
  <c r="U532" i="6"/>
  <c r="V532" i="6"/>
  <c r="U533" i="6"/>
  <c r="V533" i="6"/>
  <c r="U534" i="6"/>
  <c r="V534" i="6"/>
  <c r="U535" i="6"/>
  <c r="V535" i="6"/>
  <c r="U536" i="6"/>
  <c r="V536" i="6"/>
  <c r="U537" i="6"/>
  <c r="V537" i="6"/>
  <c r="U538" i="6"/>
  <c r="V538" i="6"/>
  <c r="U539" i="6"/>
  <c r="V539" i="6"/>
  <c r="U540" i="6"/>
  <c r="V540" i="6"/>
  <c r="U541" i="6"/>
  <c r="V541" i="6"/>
  <c r="U542" i="6"/>
  <c r="V542" i="6"/>
  <c r="U543" i="6"/>
  <c r="V543" i="6"/>
  <c r="U544" i="6"/>
  <c r="V544" i="6"/>
  <c r="U545" i="6"/>
  <c r="V545" i="6"/>
  <c r="U546" i="6"/>
  <c r="V546" i="6"/>
  <c r="U547" i="6"/>
  <c r="V547" i="6"/>
  <c r="U548" i="6"/>
  <c r="V548" i="6"/>
  <c r="U549" i="6"/>
  <c r="V549" i="6"/>
  <c r="U550" i="6"/>
  <c r="V550" i="6"/>
  <c r="U551" i="6"/>
  <c r="V551" i="6"/>
  <c r="U552" i="6"/>
  <c r="V552" i="6"/>
  <c r="U553" i="6"/>
  <c r="V553" i="6"/>
  <c r="U554" i="6"/>
  <c r="V554" i="6"/>
  <c r="U555" i="6"/>
  <c r="V555" i="6"/>
  <c r="U556" i="6"/>
  <c r="V556" i="6"/>
  <c r="U557" i="6"/>
  <c r="V557" i="6"/>
  <c r="U558" i="6"/>
  <c r="V558" i="6"/>
  <c r="U559" i="6"/>
  <c r="V559" i="6"/>
  <c r="U560" i="6"/>
  <c r="V560" i="6"/>
  <c r="U561" i="6"/>
  <c r="V561" i="6"/>
  <c r="U562" i="6"/>
  <c r="V562" i="6"/>
  <c r="U563" i="6"/>
  <c r="V563" i="6"/>
  <c r="U564" i="6"/>
  <c r="V564" i="6"/>
  <c r="U565" i="6"/>
  <c r="V565" i="6"/>
  <c r="U566" i="6"/>
  <c r="V566" i="6"/>
  <c r="U567" i="6"/>
  <c r="V567" i="6"/>
  <c r="U568" i="6"/>
  <c r="V568" i="6"/>
  <c r="U569" i="6"/>
  <c r="V569" i="6"/>
  <c r="U570" i="6"/>
  <c r="V570" i="6"/>
  <c r="U571" i="6"/>
  <c r="V571" i="6"/>
  <c r="U572" i="6"/>
  <c r="V572" i="6"/>
  <c r="U573" i="6"/>
  <c r="V573" i="6"/>
  <c r="U574" i="6"/>
  <c r="V574" i="6"/>
  <c r="U575" i="6"/>
  <c r="V575" i="6"/>
  <c r="U576" i="6"/>
  <c r="V576" i="6"/>
  <c r="U577" i="6"/>
  <c r="V577" i="6"/>
  <c r="U578" i="6"/>
  <c r="V578" i="6"/>
  <c r="U579" i="6"/>
  <c r="V579" i="6"/>
  <c r="U580" i="6"/>
  <c r="V580" i="6"/>
  <c r="U581" i="6"/>
  <c r="V581" i="6"/>
  <c r="U582" i="6"/>
  <c r="V582" i="6"/>
  <c r="U583" i="6"/>
  <c r="V583" i="6"/>
  <c r="U584" i="6"/>
  <c r="V584" i="6"/>
  <c r="U585" i="6"/>
  <c r="V585" i="6"/>
  <c r="U586" i="6"/>
  <c r="V586" i="6"/>
  <c r="U587" i="6"/>
  <c r="V587" i="6"/>
  <c r="U588" i="6"/>
  <c r="V588" i="6"/>
  <c r="U589" i="6"/>
  <c r="V589" i="6"/>
  <c r="U590" i="6"/>
  <c r="V590" i="6"/>
  <c r="U591" i="6"/>
  <c r="V591" i="6"/>
  <c r="U592" i="6"/>
  <c r="V592" i="6"/>
  <c r="U593" i="6"/>
  <c r="V593" i="6"/>
  <c r="U594" i="6"/>
  <c r="V594" i="6"/>
  <c r="U595" i="6"/>
  <c r="V595" i="6"/>
  <c r="U596" i="6"/>
  <c r="V596" i="6"/>
  <c r="U597" i="6"/>
  <c r="V597" i="6"/>
  <c r="U598" i="6"/>
  <c r="V598" i="6"/>
  <c r="U599" i="6"/>
  <c r="V599" i="6"/>
  <c r="U600" i="6"/>
  <c r="V600" i="6"/>
  <c r="U601" i="6"/>
  <c r="V601" i="6"/>
  <c r="U602" i="6"/>
  <c r="V602" i="6"/>
  <c r="U603" i="6"/>
  <c r="V603" i="6"/>
  <c r="U604" i="6"/>
  <c r="V604" i="6"/>
  <c r="U605" i="6"/>
  <c r="V605" i="6"/>
  <c r="U606" i="6"/>
  <c r="V606" i="6"/>
  <c r="U607" i="6"/>
  <c r="V607" i="6"/>
  <c r="U608" i="6"/>
  <c r="V608" i="6"/>
  <c r="U609" i="6"/>
  <c r="V609" i="6"/>
  <c r="U610" i="6"/>
  <c r="V610" i="6"/>
  <c r="U611" i="6"/>
  <c r="V611" i="6"/>
  <c r="U612" i="6"/>
  <c r="V612" i="6"/>
  <c r="U613" i="6"/>
  <c r="V613" i="6"/>
  <c r="U614" i="6"/>
  <c r="V614" i="6"/>
  <c r="U615" i="6"/>
  <c r="V615" i="6"/>
  <c r="U616" i="6"/>
  <c r="V616" i="6"/>
  <c r="U617" i="6"/>
  <c r="V617" i="6"/>
  <c r="U618" i="6"/>
  <c r="V618" i="6"/>
  <c r="U619" i="6"/>
  <c r="V619" i="6"/>
  <c r="U620" i="6"/>
  <c r="V620" i="6"/>
  <c r="U621" i="6"/>
  <c r="V621" i="6"/>
  <c r="U622" i="6"/>
  <c r="V622" i="6"/>
  <c r="U623" i="6"/>
  <c r="V623" i="6"/>
  <c r="U624" i="6"/>
  <c r="V624" i="6"/>
  <c r="V2" i="6"/>
  <c r="U2" i="6"/>
  <c r="W573" i="6"/>
  <c r="W617" i="6"/>
  <c r="W603" i="6"/>
  <c r="W601" i="6"/>
  <c r="W593" i="6"/>
  <c r="W587" i="6"/>
  <c r="W577" i="6"/>
  <c r="W142" i="6"/>
  <c r="W102" i="6"/>
  <c r="W98" i="6"/>
  <c r="W90" i="6"/>
  <c r="W86" i="6"/>
  <c r="W70" i="6"/>
  <c r="W68" i="6"/>
  <c r="W54" i="6"/>
  <c r="W52" i="6"/>
  <c r="W50" i="6"/>
  <c r="W22" i="6"/>
  <c r="W20" i="6"/>
  <c r="W18" i="6"/>
  <c r="W14" i="6"/>
  <c r="W10" i="6"/>
  <c r="W6" i="6"/>
  <c r="W4" i="6"/>
  <c r="W37" i="6"/>
  <c r="W555" i="6"/>
  <c r="W547" i="6"/>
  <c r="W262" i="6"/>
  <c r="W260" i="6"/>
  <c r="W246" i="6"/>
  <c r="W244" i="6"/>
  <c r="W242" i="6"/>
  <c r="W230" i="6"/>
  <c r="W228" i="6"/>
  <c r="W226" i="6"/>
  <c r="W220" i="6"/>
  <c r="W198" i="6"/>
  <c r="W182" i="6"/>
  <c r="W180" i="6"/>
  <c r="W178" i="6"/>
  <c r="W140" i="6"/>
  <c r="W557" i="6"/>
  <c r="W549" i="6"/>
  <c r="W539" i="6"/>
  <c r="W509" i="6"/>
  <c r="W215" i="6"/>
  <c r="W55" i="6"/>
  <c r="W338" i="6"/>
  <c r="W66" i="6"/>
  <c r="W295" i="6"/>
  <c r="W257" i="6"/>
  <c r="W255" i="6"/>
  <c r="W251" i="6"/>
  <c r="W249" i="6"/>
  <c r="W239" i="6"/>
  <c r="W235" i="6"/>
  <c r="W233" i="6"/>
  <c r="W231" i="6"/>
  <c r="W223" i="6"/>
  <c r="W219" i="6"/>
  <c r="W217" i="6"/>
  <c r="W183" i="6"/>
  <c r="W177" i="6"/>
  <c r="W175" i="6"/>
  <c r="W167" i="6"/>
  <c r="W145" i="6"/>
  <c r="W143" i="6"/>
  <c r="W137" i="6"/>
  <c r="W97" i="6"/>
  <c r="W93" i="6"/>
  <c r="W81" i="6"/>
  <c r="W77" i="6"/>
  <c r="W49" i="6"/>
  <c r="W47" i="6"/>
  <c r="W45" i="6"/>
  <c r="W43" i="6"/>
  <c r="W17" i="6"/>
  <c r="W15" i="6"/>
  <c r="W13" i="6"/>
  <c r="W11" i="6"/>
  <c r="W5" i="6"/>
  <c r="W616" i="6"/>
  <c r="W600" i="6"/>
  <c r="W598" i="6"/>
  <c r="W596" i="6"/>
  <c r="W592" i="6"/>
  <c r="W590" i="6"/>
  <c r="W588" i="6"/>
  <c r="W3" i="6"/>
  <c r="W619" i="6"/>
  <c r="W525" i="6"/>
  <c r="W521" i="6"/>
  <c r="W513" i="6"/>
  <c r="W493" i="6"/>
  <c r="W485" i="6"/>
  <c r="W481" i="6"/>
  <c r="W465" i="6"/>
  <c r="W449" i="6"/>
  <c r="W445" i="6"/>
  <c r="W437" i="6"/>
  <c r="W433" i="6"/>
  <c r="W429" i="6"/>
  <c r="W421" i="6"/>
  <c r="W417" i="6"/>
  <c r="W401" i="6"/>
  <c r="W385" i="6"/>
  <c r="W381" i="6"/>
  <c r="W369" i="6"/>
  <c r="W365" i="6"/>
  <c r="W357" i="6"/>
  <c r="W353" i="6"/>
  <c r="W337" i="6"/>
  <c r="W335" i="6"/>
  <c r="W327" i="6"/>
  <c r="W323" i="6"/>
  <c r="W319" i="6"/>
  <c r="W303" i="6"/>
  <c r="W299" i="6"/>
  <c r="W297" i="6"/>
  <c r="W206" i="6"/>
  <c r="W204" i="6"/>
  <c r="W151" i="6"/>
  <c r="W135" i="6"/>
  <c r="W67" i="6"/>
  <c r="W520" i="6"/>
  <c r="W518" i="6"/>
  <c r="W516" i="6"/>
  <c r="W512" i="6"/>
  <c r="W504" i="6"/>
  <c r="W488" i="6"/>
  <c r="W486" i="6"/>
  <c r="W472" i="6"/>
  <c r="W470" i="6"/>
  <c r="W468" i="6"/>
  <c r="W466" i="6"/>
  <c r="W456" i="6"/>
  <c r="W454" i="6"/>
  <c r="W452" i="6"/>
  <c r="W440" i="6"/>
  <c r="W438" i="6"/>
  <c r="W424" i="6"/>
  <c r="W422" i="6"/>
  <c r="W420" i="6"/>
  <c r="W418" i="6"/>
  <c r="W408" i="6"/>
  <c r="W406" i="6"/>
  <c r="W404" i="6"/>
  <c r="W402" i="6"/>
  <c r="W392" i="6"/>
  <c r="W390" i="6"/>
  <c r="W388" i="6"/>
  <c r="W386" i="6"/>
  <c r="W376" i="6"/>
  <c r="W374" i="6"/>
  <c r="W372" i="6"/>
  <c r="W360" i="6"/>
  <c r="W247" i="6"/>
  <c r="W207" i="6"/>
  <c r="W199" i="6"/>
  <c r="W166" i="6"/>
  <c r="W118" i="6"/>
  <c r="W114" i="6"/>
  <c r="W110" i="6"/>
  <c r="W106" i="6"/>
  <c r="W58" i="6"/>
  <c r="W615" i="6"/>
  <c r="W613" i="6"/>
  <c r="W581" i="6"/>
  <c r="W579" i="6"/>
  <c r="W569" i="6"/>
  <c r="W561" i="6"/>
  <c r="W541" i="6"/>
  <c r="W537" i="6"/>
  <c r="W529" i="6"/>
  <c r="W502" i="6"/>
  <c r="W500" i="6"/>
  <c r="W489" i="6"/>
  <c r="W477" i="6"/>
  <c r="W473" i="6"/>
  <c r="W471" i="6"/>
  <c r="W461" i="6"/>
  <c r="W457" i="6"/>
  <c r="W455" i="6"/>
  <c r="W451" i="6"/>
  <c r="W441" i="6"/>
  <c r="W439" i="6"/>
  <c r="W435" i="6"/>
  <c r="W413" i="6"/>
  <c r="W409" i="6"/>
  <c r="W397" i="6"/>
  <c r="W393" i="6"/>
  <c r="W391" i="6"/>
  <c r="W387" i="6"/>
  <c r="W377" i="6"/>
  <c r="W375" i="6"/>
  <c r="W371" i="6"/>
  <c r="W349" i="6"/>
  <c r="W345" i="6"/>
  <c r="W343" i="6"/>
  <c r="W339" i="6"/>
  <c r="W311" i="6"/>
  <c r="W287" i="6"/>
  <c r="W283" i="6"/>
  <c r="W281" i="6"/>
  <c r="W279" i="6"/>
  <c r="W273" i="6"/>
  <c r="W271" i="6"/>
  <c r="W267" i="6"/>
  <c r="W265" i="6"/>
  <c r="W263" i="6"/>
  <c r="W209" i="6"/>
  <c r="W190" i="6"/>
  <c r="W188" i="6"/>
  <c r="W159" i="6"/>
  <c r="W155" i="6"/>
  <c r="W153" i="6"/>
  <c r="W134" i="6"/>
  <c r="W132" i="6"/>
  <c r="W126" i="6"/>
  <c r="W124" i="6"/>
  <c r="W99" i="6"/>
  <c r="W51" i="6"/>
  <c r="W33" i="6"/>
  <c r="W31" i="6"/>
  <c r="W29" i="6"/>
  <c r="W27" i="6"/>
  <c r="W358" i="6"/>
  <c r="W356" i="6"/>
  <c r="W354" i="6"/>
  <c r="W330" i="6"/>
  <c r="W328" i="6"/>
  <c r="W326" i="6"/>
  <c r="W314" i="6"/>
  <c r="W312" i="6"/>
  <c r="W306" i="6"/>
  <c r="W302" i="6"/>
  <c r="W222" i="6"/>
  <c r="W83" i="6"/>
  <c r="W568" i="6"/>
  <c r="W566" i="6"/>
  <c r="W560" i="6"/>
  <c r="W558" i="6"/>
  <c r="W552" i="6"/>
  <c r="W550" i="6"/>
  <c r="W544" i="6"/>
  <c r="W542" i="6"/>
  <c r="W536" i="6"/>
  <c r="W534" i="6"/>
  <c r="W532" i="6"/>
  <c r="W528" i="6"/>
  <c r="W526" i="6"/>
  <c r="W523" i="6"/>
  <c r="W505" i="6"/>
  <c r="W501" i="6"/>
  <c r="W497" i="6"/>
  <c r="W294" i="6"/>
  <c r="W292" i="6"/>
  <c r="W290" i="6"/>
  <c r="W286" i="6"/>
  <c r="W284" i="6"/>
  <c r="W278" i="6"/>
  <c r="W276" i="6"/>
  <c r="W270" i="6"/>
  <c r="W268" i="6"/>
  <c r="W214" i="6"/>
  <c r="W212" i="6"/>
  <c r="W210" i="6"/>
  <c r="W191" i="6"/>
  <c r="W187" i="6"/>
  <c r="W185" i="6"/>
  <c r="W158" i="6"/>
  <c r="W156" i="6"/>
  <c r="W150" i="6"/>
  <c r="W148" i="6"/>
  <c r="W129" i="6"/>
  <c r="W127" i="6"/>
  <c r="W119" i="6"/>
  <c r="W111" i="6"/>
  <c r="W103" i="6"/>
  <c r="W82" i="6"/>
  <c r="W74" i="6"/>
  <c r="W65" i="6"/>
  <c r="W46" i="6"/>
  <c r="W42" i="6"/>
  <c r="W38" i="6"/>
  <c r="W34" i="6"/>
  <c r="W30" i="6"/>
  <c r="W26" i="6"/>
  <c r="W611" i="6"/>
  <c r="W609" i="6"/>
  <c r="W584" i="6"/>
  <c r="W582" i="6"/>
  <c r="W576" i="6"/>
  <c r="W574" i="6"/>
  <c r="W571" i="6"/>
  <c r="W565" i="6"/>
  <c r="W563" i="6"/>
  <c r="W553" i="6"/>
  <c r="W545" i="6"/>
  <c r="W517" i="6"/>
  <c r="W515" i="6"/>
  <c r="W484" i="6"/>
  <c r="W482" i="6"/>
  <c r="W467" i="6"/>
  <c r="W453" i="6"/>
  <c r="W407" i="6"/>
  <c r="W403" i="6"/>
  <c r="W389" i="6"/>
  <c r="W333" i="6"/>
  <c r="W321" i="6"/>
  <c r="W300" i="6"/>
  <c r="W289" i="6"/>
  <c r="W258" i="6"/>
  <c r="W238" i="6"/>
  <c r="W236" i="6"/>
  <c r="W225" i="6"/>
  <c r="W203" i="6"/>
  <c r="W201" i="6"/>
  <c r="W196" i="6"/>
  <c r="W194" i="6"/>
  <c r="W174" i="6"/>
  <c r="W172" i="6"/>
  <c r="W161" i="6"/>
  <c r="W61" i="6"/>
  <c r="W373" i="6"/>
  <c r="W344" i="6"/>
  <c r="W342" i="6"/>
  <c r="W331" i="6"/>
  <c r="W315" i="6"/>
  <c r="W313" i="6"/>
  <c r="W307" i="6"/>
  <c r="W305" i="6"/>
  <c r="W274" i="6"/>
  <c r="W254" i="6"/>
  <c r="W252" i="6"/>
  <c r="W241" i="6"/>
  <c r="W121" i="6"/>
  <c r="W116" i="6"/>
  <c r="W105" i="6"/>
  <c r="W100" i="6"/>
  <c r="W87" i="6"/>
  <c r="W78" i="6"/>
  <c r="W36" i="6"/>
  <c r="W614" i="6"/>
  <c r="W612" i="6"/>
  <c r="W610" i="6"/>
  <c r="W595" i="6"/>
  <c r="W585" i="6"/>
  <c r="W533" i="6"/>
  <c r="W531" i="6"/>
  <c r="W503" i="6"/>
  <c r="W499" i="6"/>
  <c r="W193" i="6"/>
  <c r="W171" i="6"/>
  <c r="W169" i="6"/>
  <c r="W164" i="6"/>
  <c r="W2" i="6"/>
  <c r="W498" i="6"/>
  <c r="W487" i="6"/>
  <c r="W483" i="6"/>
  <c r="W436" i="6"/>
  <c r="W434" i="6"/>
  <c r="W425" i="6"/>
  <c r="W423" i="6"/>
  <c r="W419" i="6"/>
  <c r="W370" i="6"/>
  <c r="W361" i="6"/>
  <c r="W359" i="6"/>
  <c r="W355" i="6"/>
  <c r="W113" i="6"/>
  <c r="W108" i="6"/>
  <c r="W94" i="6"/>
  <c r="W84" i="6"/>
  <c r="W71" i="6"/>
  <c r="W62" i="6"/>
  <c r="W621" i="6"/>
  <c r="W607" i="6"/>
  <c r="W605" i="6"/>
  <c r="W623" i="6"/>
  <c r="W624" i="6"/>
  <c r="W622" i="6"/>
  <c r="W620" i="6"/>
  <c r="W608" i="6"/>
  <c r="W606" i="6"/>
  <c r="W604" i="6"/>
  <c r="W618" i="6"/>
  <c r="W602" i="6"/>
  <c r="W469" i="6"/>
  <c r="W405" i="6"/>
  <c r="W341" i="6"/>
  <c r="W594" i="6"/>
  <c r="W591" i="6"/>
  <c r="W589" i="6"/>
  <c r="W580" i="6"/>
  <c r="W578" i="6"/>
  <c r="W575" i="6"/>
  <c r="W564" i="6"/>
  <c r="W562" i="6"/>
  <c r="W559" i="6"/>
  <c r="W548" i="6"/>
  <c r="W546" i="6"/>
  <c r="W543" i="6"/>
  <c r="W530" i="6"/>
  <c r="W527" i="6"/>
  <c r="W514" i="6"/>
  <c r="W511" i="6"/>
  <c r="W495" i="6"/>
  <c r="W479" i="6"/>
  <c r="W463" i="6"/>
  <c r="W450" i="6"/>
  <c r="W447" i="6"/>
  <c r="W431" i="6"/>
  <c r="W415" i="6"/>
  <c r="W399" i="6"/>
  <c r="W383" i="6"/>
  <c r="W367" i="6"/>
  <c r="W351" i="6"/>
  <c r="W162" i="6"/>
  <c r="W146" i="6"/>
  <c r="W139" i="6"/>
  <c r="W130" i="6"/>
  <c r="W123" i="6"/>
  <c r="W107" i="6"/>
  <c r="W95" i="6"/>
  <c r="W63" i="6"/>
  <c r="W510" i="6"/>
  <c r="W507" i="6"/>
  <c r="W496" i="6"/>
  <c r="W494" i="6"/>
  <c r="W491" i="6"/>
  <c r="W480" i="6"/>
  <c r="W478" i="6"/>
  <c r="W475" i="6"/>
  <c r="W464" i="6"/>
  <c r="W462" i="6"/>
  <c r="W459" i="6"/>
  <c r="W448" i="6"/>
  <c r="W446" i="6"/>
  <c r="W443" i="6"/>
  <c r="W432" i="6"/>
  <c r="W430" i="6"/>
  <c r="W427" i="6"/>
  <c r="W416" i="6"/>
  <c r="W414" i="6"/>
  <c r="W411" i="6"/>
  <c r="W400" i="6"/>
  <c r="W398" i="6"/>
  <c r="W395" i="6"/>
  <c r="W384" i="6"/>
  <c r="W382" i="6"/>
  <c r="W379" i="6"/>
  <c r="W368" i="6"/>
  <c r="W366" i="6"/>
  <c r="W363" i="6"/>
  <c r="W352" i="6"/>
  <c r="W350" i="6"/>
  <c r="W347" i="6"/>
  <c r="W336" i="6"/>
  <c r="W329" i="6"/>
  <c r="W322" i="6"/>
  <c r="W320" i="6"/>
  <c r="W309" i="6"/>
  <c r="W599" i="6"/>
  <c r="W597" i="6"/>
  <c r="W586" i="6"/>
  <c r="W583" i="6"/>
  <c r="W572" i="6"/>
  <c r="W570" i="6"/>
  <c r="W567" i="6"/>
  <c r="W556" i="6"/>
  <c r="W554" i="6"/>
  <c r="W551" i="6"/>
  <c r="W540" i="6"/>
  <c r="W538" i="6"/>
  <c r="W535" i="6"/>
  <c r="W524" i="6"/>
  <c r="W522" i="6"/>
  <c r="W519" i="6"/>
  <c r="W508" i="6"/>
  <c r="W506" i="6"/>
  <c r="W492" i="6"/>
  <c r="W490" i="6"/>
  <c r="W476" i="6"/>
  <c r="W474" i="6"/>
  <c r="W460" i="6"/>
  <c r="W458" i="6"/>
  <c r="W444" i="6"/>
  <c r="W442" i="6"/>
  <c r="W428" i="6"/>
  <c r="W426" i="6"/>
  <c r="W412" i="6"/>
  <c r="W410" i="6"/>
  <c r="W396" i="6"/>
  <c r="W394" i="6"/>
  <c r="W380" i="6"/>
  <c r="W378" i="6"/>
  <c r="W364" i="6"/>
  <c r="W362" i="6"/>
  <c r="W348" i="6"/>
  <c r="W346" i="6"/>
  <c r="W334" i="6"/>
  <c r="W332" i="6"/>
  <c r="W325" i="6"/>
  <c r="W318" i="6"/>
  <c r="W316" i="6"/>
  <c r="W298" i="6"/>
  <c r="W291" i="6"/>
  <c r="W282" i="6"/>
  <c r="W275" i="6"/>
  <c r="W266" i="6"/>
  <c r="W259" i="6"/>
  <c r="W250" i="6"/>
  <c r="W243" i="6"/>
  <c r="W234" i="6"/>
  <c r="W227" i="6"/>
  <c r="W218" i="6"/>
  <c r="W211" i="6"/>
  <c r="W202" i="6"/>
  <c r="W195" i="6"/>
  <c r="W186" i="6"/>
  <c r="W179" i="6"/>
  <c r="W170" i="6"/>
  <c r="W163" i="6"/>
  <c r="W154" i="6"/>
  <c r="W147" i="6"/>
  <c r="W138" i="6"/>
  <c r="W131" i="6"/>
  <c r="W122" i="6"/>
  <c r="W115" i="6"/>
  <c r="W79" i="6"/>
  <c r="W324" i="6"/>
  <c r="W317" i="6"/>
  <c r="W310" i="6"/>
  <c r="W308" i="6"/>
  <c r="W91" i="6"/>
  <c r="W89" i="6"/>
  <c r="W75" i="6"/>
  <c r="W73" i="6"/>
  <c r="W59" i="6"/>
  <c r="W57" i="6"/>
  <c r="W41" i="6"/>
  <c r="W39" i="6"/>
  <c r="W25" i="6"/>
  <c r="W23" i="6"/>
  <c r="W9" i="6"/>
  <c r="W7" i="6"/>
  <c r="W304" i="6"/>
  <c r="W301" i="6"/>
  <c r="W296" i="6"/>
  <c r="W293" i="6"/>
  <c r="W288" i="6"/>
  <c r="W285" i="6"/>
  <c r="W280" i="6"/>
  <c r="W277" i="6"/>
  <c r="W272" i="6"/>
  <c r="W269" i="6"/>
  <c r="W264" i="6"/>
  <c r="W261" i="6"/>
  <c r="W256" i="6"/>
  <c r="W253" i="6"/>
  <c r="W248" i="6"/>
  <c r="W245" i="6"/>
  <c r="W240" i="6"/>
  <c r="W237" i="6"/>
  <c r="W232" i="6"/>
  <c r="W229" i="6"/>
  <c r="W224" i="6"/>
  <c r="W221" i="6"/>
  <c r="W216" i="6"/>
  <c r="W213" i="6"/>
  <c r="W208" i="6"/>
  <c r="W205" i="6"/>
  <c r="W200" i="6"/>
  <c r="W197" i="6"/>
  <c r="W192" i="6"/>
  <c r="W189" i="6"/>
  <c r="W184" i="6"/>
  <c r="W181" i="6"/>
  <c r="W176" i="6"/>
  <c r="W173" i="6"/>
  <c r="W168" i="6"/>
  <c r="W165" i="6"/>
  <c r="W160" i="6"/>
  <c r="W157" i="6"/>
  <c r="W152" i="6"/>
  <c r="W149" i="6"/>
  <c r="W144" i="6"/>
  <c r="W141" i="6"/>
  <c r="W133" i="6"/>
  <c r="W125" i="6"/>
  <c r="W117" i="6"/>
  <c r="W109" i="6"/>
  <c r="W101" i="6"/>
  <c r="W85" i="6"/>
  <c r="W69" i="6"/>
  <c r="W53" i="6"/>
  <c r="W35" i="6"/>
  <c r="W21" i="6"/>
  <c r="W19" i="6"/>
  <c r="W12" i="6"/>
  <c r="W96" i="6"/>
  <c r="W80" i="6"/>
  <c r="W64" i="6"/>
  <c r="W48" i="6"/>
  <c r="W32" i="6"/>
  <c r="W16" i="6"/>
  <c r="W136" i="6"/>
  <c r="W128" i="6"/>
  <c r="W120" i="6"/>
  <c r="W112" i="6"/>
  <c r="W104" i="6"/>
  <c r="W92" i="6"/>
  <c r="W76" i="6"/>
  <c r="W60" i="6"/>
  <c r="W44" i="6"/>
  <c r="W28" i="6"/>
  <c r="W340" i="6"/>
  <c r="W88" i="6"/>
  <c r="W72" i="6"/>
  <c r="W56" i="6"/>
  <c r="W40" i="6"/>
  <c r="W24" i="6"/>
  <c r="W8" i="6"/>
  <c r="F4" i="3"/>
  <c r="Z2" i="4"/>
  <c r="X2" i="4"/>
  <c r="T3" i="6"/>
  <c r="T4" i="6"/>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T205" i="6"/>
  <c r="T206" i="6"/>
  <c r="T207" i="6"/>
  <c r="T208" i="6"/>
  <c r="T209" i="6"/>
  <c r="T210" i="6"/>
  <c r="T211" i="6"/>
  <c r="T212" i="6"/>
  <c r="T213" i="6"/>
  <c r="T214" i="6"/>
  <c r="T215" i="6"/>
  <c r="T216" i="6"/>
  <c r="T217" i="6"/>
  <c r="T218" i="6"/>
  <c r="T219" i="6"/>
  <c r="T220" i="6"/>
  <c r="T221" i="6"/>
  <c r="T222" i="6"/>
  <c r="T223" i="6"/>
  <c r="T224" i="6"/>
  <c r="T225" i="6"/>
  <c r="T226" i="6"/>
  <c r="T227" i="6"/>
  <c r="T228" i="6"/>
  <c r="T229" i="6"/>
  <c r="T230" i="6"/>
  <c r="T231" i="6"/>
  <c r="T232" i="6"/>
  <c r="T233" i="6"/>
  <c r="T234" i="6"/>
  <c r="T235" i="6"/>
  <c r="T236" i="6"/>
  <c r="T237" i="6"/>
  <c r="T238" i="6"/>
  <c r="T239" i="6"/>
  <c r="T240" i="6"/>
  <c r="T241" i="6"/>
  <c r="T242" i="6"/>
  <c r="T243" i="6"/>
  <c r="T244" i="6"/>
  <c r="T245" i="6"/>
  <c r="T246" i="6"/>
  <c r="T247" i="6"/>
  <c r="T248" i="6"/>
  <c r="T249" i="6"/>
  <c r="T250" i="6"/>
  <c r="T251" i="6"/>
  <c r="T252" i="6"/>
  <c r="T253" i="6"/>
  <c r="T254" i="6"/>
  <c r="T255" i="6"/>
  <c r="T256" i="6"/>
  <c r="T257" i="6"/>
  <c r="T258" i="6"/>
  <c r="T259" i="6"/>
  <c r="T260" i="6"/>
  <c r="T261" i="6"/>
  <c r="T262" i="6"/>
  <c r="T263" i="6"/>
  <c r="T264" i="6"/>
  <c r="T265" i="6"/>
  <c r="T266" i="6"/>
  <c r="T267" i="6"/>
  <c r="T268" i="6"/>
  <c r="T269" i="6"/>
  <c r="T270" i="6"/>
  <c r="T271" i="6"/>
  <c r="T272" i="6"/>
  <c r="T273" i="6"/>
  <c r="T274" i="6"/>
  <c r="T275" i="6"/>
  <c r="T276" i="6"/>
  <c r="T277" i="6"/>
  <c r="T278" i="6"/>
  <c r="T279" i="6"/>
  <c r="T280" i="6"/>
  <c r="T281" i="6"/>
  <c r="T282" i="6"/>
  <c r="T283" i="6"/>
  <c r="T284" i="6"/>
  <c r="T285" i="6"/>
  <c r="T286" i="6"/>
  <c r="T287" i="6"/>
  <c r="T288" i="6"/>
  <c r="T289" i="6"/>
  <c r="T290" i="6"/>
  <c r="T291" i="6"/>
  <c r="T292" i="6"/>
  <c r="T293" i="6"/>
  <c r="T294" i="6"/>
  <c r="T295" i="6"/>
  <c r="T296" i="6"/>
  <c r="T297" i="6"/>
  <c r="T298" i="6"/>
  <c r="T299" i="6"/>
  <c r="T300" i="6"/>
  <c r="T301" i="6"/>
  <c r="T302" i="6"/>
  <c r="T303" i="6"/>
  <c r="T304" i="6"/>
  <c r="T305" i="6"/>
  <c r="T306" i="6"/>
  <c r="T307" i="6"/>
  <c r="T308" i="6"/>
  <c r="T309" i="6"/>
  <c r="T310" i="6"/>
  <c r="T311" i="6"/>
  <c r="T312" i="6"/>
  <c r="T313" i="6"/>
  <c r="T314" i="6"/>
  <c r="T315" i="6"/>
  <c r="T316" i="6"/>
  <c r="T317" i="6"/>
  <c r="T318" i="6"/>
  <c r="T319" i="6"/>
  <c r="T320" i="6"/>
  <c r="T321" i="6"/>
  <c r="T322" i="6"/>
  <c r="T323" i="6"/>
  <c r="T324" i="6"/>
  <c r="T325" i="6"/>
  <c r="T326" i="6"/>
  <c r="T327" i="6"/>
  <c r="T328" i="6"/>
  <c r="T329" i="6"/>
  <c r="T330" i="6"/>
  <c r="T331" i="6"/>
  <c r="T332" i="6"/>
  <c r="T333" i="6"/>
  <c r="T334" i="6"/>
  <c r="T335" i="6"/>
  <c r="T336" i="6"/>
  <c r="T337" i="6"/>
  <c r="T338" i="6"/>
  <c r="T339" i="6"/>
  <c r="T340" i="6"/>
  <c r="T341" i="6"/>
  <c r="T342" i="6"/>
  <c r="T343" i="6"/>
  <c r="T344" i="6"/>
  <c r="T345" i="6"/>
  <c r="T346" i="6"/>
  <c r="T347" i="6"/>
  <c r="T348" i="6"/>
  <c r="T349" i="6"/>
  <c r="T350" i="6"/>
  <c r="T351" i="6"/>
  <c r="T352" i="6"/>
  <c r="T353" i="6"/>
  <c r="T354" i="6"/>
  <c r="T355" i="6"/>
  <c r="T356" i="6"/>
  <c r="T357" i="6"/>
  <c r="T358" i="6"/>
  <c r="T359" i="6"/>
  <c r="T360" i="6"/>
  <c r="T361" i="6"/>
  <c r="T362" i="6"/>
  <c r="T363" i="6"/>
  <c r="T364" i="6"/>
  <c r="T365" i="6"/>
  <c r="T366" i="6"/>
  <c r="T367" i="6"/>
  <c r="T368" i="6"/>
  <c r="T369" i="6"/>
  <c r="T370" i="6"/>
  <c r="T371" i="6"/>
  <c r="T372" i="6"/>
  <c r="T373" i="6"/>
  <c r="T374" i="6"/>
  <c r="T375" i="6"/>
  <c r="T376" i="6"/>
  <c r="T377" i="6"/>
  <c r="T378" i="6"/>
  <c r="T379" i="6"/>
  <c r="T380" i="6"/>
  <c r="T381" i="6"/>
  <c r="T382" i="6"/>
  <c r="T383" i="6"/>
  <c r="T384" i="6"/>
  <c r="T385" i="6"/>
  <c r="T386" i="6"/>
  <c r="T387" i="6"/>
  <c r="T388" i="6"/>
  <c r="T389" i="6"/>
  <c r="T390" i="6"/>
  <c r="T391" i="6"/>
  <c r="T392" i="6"/>
  <c r="T393" i="6"/>
  <c r="T394" i="6"/>
  <c r="T395" i="6"/>
  <c r="T396" i="6"/>
  <c r="T397" i="6"/>
  <c r="T398" i="6"/>
  <c r="T399" i="6"/>
  <c r="T400" i="6"/>
  <c r="T401" i="6"/>
  <c r="T402" i="6"/>
  <c r="T403" i="6"/>
  <c r="T404" i="6"/>
  <c r="T405" i="6"/>
  <c r="T406" i="6"/>
  <c r="T407" i="6"/>
  <c r="T408" i="6"/>
  <c r="T409" i="6"/>
  <c r="T410" i="6"/>
  <c r="T411" i="6"/>
  <c r="T412" i="6"/>
  <c r="T413" i="6"/>
  <c r="T414" i="6"/>
  <c r="T415" i="6"/>
  <c r="T416" i="6"/>
  <c r="T417" i="6"/>
  <c r="T418" i="6"/>
  <c r="T419" i="6"/>
  <c r="T420" i="6"/>
  <c r="T421" i="6"/>
  <c r="T422" i="6"/>
  <c r="T423" i="6"/>
  <c r="T424" i="6"/>
  <c r="T425" i="6"/>
  <c r="T426" i="6"/>
  <c r="T427" i="6"/>
  <c r="T428" i="6"/>
  <c r="T429" i="6"/>
  <c r="T430" i="6"/>
  <c r="T431" i="6"/>
  <c r="T432" i="6"/>
  <c r="T433" i="6"/>
  <c r="T434" i="6"/>
  <c r="T435" i="6"/>
  <c r="T436" i="6"/>
  <c r="T437" i="6"/>
  <c r="T438" i="6"/>
  <c r="T439" i="6"/>
  <c r="T440" i="6"/>
  <c r="T441" i="6"/>
  <c r="T442" i="6"/>
  <c r="T443" i="6"/>
  <c r="T444" i="6"/>
  <c r="T445" i="6"/>
  <c r="T446" i="6"/>
  <c r="T447" i="6"/>
  <c r="T448" i="6"/>
  <c r="T449" i="6"/>
  <c r="T450" i="6"/>
  <c r="T451" i="6"/>
  <c r="T452" i="6"/>
  <c r="T453" i="6"/>
  <c r="T454" i="6"/>
  <c r="T455" i="6"/>
  <c r="T456" i="6"/>
  <c r="T457" i="6"/>
  <c r="T458" i="6"/>
  <c r="T459" i="6"/>
  <c r="T460" i="6"/>
  <c r="T461" i="6"/>
  <c r="T462" i="6"/>
  <c r="T463" i="6"/>
  <c r="T464" i="6"/>
  <c r="T465" i="6"/>
  <c r="T466" i="6"/>
  <c r="T467" i="6"/>
  <c r="T468" i="6"/>
  <c r="T469" i="6"/>
  <c r="T470" i="6"/>
  <c r="T471" i="6"/>
  <c r="T472" i="6"/>
  <c r="T473" i="6"/>
  <c r="T474" i="6"/>
  <c r="T475" i="6"/>
  <c r="T476" i="6"/>
  <c r="T477" i="6"/>
  <c r="T478" i="6"/>
  <c r="T479" i="6"/>
  <c r="T480" i="6"/>
  <c r="T481" i="6"/>
  <c r="T482" i="6"/>
  <c r="T483" i="6"/>
  <c r="T484" i="6"/>
  <c r="T485" i="6"/>
  <c r="T486" i="6"/>
  <c r="T487" i="6"/>
  <c r="T488" i="6"/>
  <c r="T489" i="6"/>
  <c r="T490" i="6"/>
  <c r="T491" i="6"/>
  <c r="T492" i="6"/>
  <c r="T493" i="6"/>
  <c r="T494" i="6"/>
  <c r="T495" i="6"/>
  <c r="T496" i="6"/>
  <c r="T497" i="6"/>
  <c r="T498" i="6"/>
  <c r="T499" i="6"/>
  <c r="T500" i="6"/>
  <c r="T501" i="6"/>
  <c r="T502" i="6"/>
  <c r="T503" i="6"/>
  <c r="T504" i="6"/>
  <c r="T505" i="6"/>
  <c r="T506" i="6"/>
  <c r="T507" i="6"/>
  <c r="T508" i="6"/>
  <c r="T509" i="6"/>
  <c r="T510" i="6"/>
  <c r="T511" i="6"/>
  <c r="T512" i="6"/>
  <c r="T513" i="6"/>
  <c r="T514" i="6"/>
  <c r="T515" i="6"/>
  <c r="T516" i="6"/>
  <c r="T517" i="6"/>
  <c r="T518" i="6"/>
  <c r="T519" i="6"/>
  <c r="T520" i="6"/>
  <c r="T521" i="6"/>
  <c r="T522" i="6"/>
  <c r="T523" i="6"/>
  <c r="T524" i="6"/>
  <c r="T525" i="6"/>
  <c r="T526" i="6"/>
  <c r="T527" i="6"/>
  <c r="T528" i="6"/>
  <c r="T529" i="6"/>
  <c r="T530" i="6"/>
  <c r="T531" i="6"/>
  <c r="T532" i="6"/>
  <c r="T533" i="6"/>
  <c r="T534" i="6"/>
  <c r="T535" i="6"/>
  <c r="T536" i="6"/>
  <c r="T537" i="6"/>
  <c r="T538" i="6"/>
  <c r="T539" i="6"/>
  <c r="T540" i="6"/>
  <c r="T541" i="6"/>
  <c r="T542" i="6"/>
  <c r="T543" i="6"/>
  <c r="T544" i="6"/>
  <c r="T545" i="6"/>
  <c r="T546" i="6"/>
  <c r="T547" i="6"/>
  <c r="T548" i="6"/>
  <c r="T549" i="6"/>
  <c r="T550" i="6"/>
  <c r="T551" i="6"/>
  <c r="T552" i="6"/>
  <c r="T553" i="6"/>
  <c r="T554" i="6"/>
  <c r="T555" i="6"/>
  <c r="T556" i="6"/>
  <c r="T557" i="6"/>
  <c r="T558" i="6"/>
  <c r="T559" i="6"/>
  <c r="T560" i="6"/>
  <c r="T561" i="6"/>
  <c r="T562" i="6"/>
  <c r="T563" i="6"/>
  <c r="T564" i="6"/>
  <c r="T565" i="6"/>
  <c r="T566" i="6"/>
  <c r="T567" i="6"/>
  <c r="T568" i="6"/>
  <c r="T569" i="6"/>
  <c r="T570" i="6"/>
  <c r="T571" i="6"/>
  <c r="T572" i="6"/>
  <c r="T573" i="6"/>
  <c r="T574" i="6"/>
  <c r="T575" i="6"/>
  <c r="T576" i="6"/>
  <c r="T577" i="6"/>
  <c r="T578" i="6"/>
  <c r="T579" i="6"/>
  <c r="T580" i="6"/>
  <c r="T581" i="6"/>
  <c r="T582" i="6"/>
  <c r="T583" i="6"/>
  <c r="T584" i="6"/>
  <c r="T585" i="6"/>
  <c r="T586" i="6"/>
  <c r="T587" i="6"/>
  <c r="T588" i="6"/>
  <c r="T589" i="6"/>
  <c r="T590" i="6"/>
  <c r="T591" i="6"/>
  <c r="T592" i="6"/>
  <c r="T593" i="6"/>
  <c r="T594" i="6"/>
  <c r="T595" i="6"/>
  <c r="T596" i="6"/>
  <c r="T597" i="6"/>
  <c r="T598" i="6"/>
  <c r="T599" i="6"/>
  <c r="T600" i="6"/>
  <c r="T601" i="6"/>
  <c r="T602" i="6"/>
  <c r="T603" i="6"/>
  <c r="T604" i="6"/>
  <c r="T605" i="6"/>
  <c r="T606" i="6"/>
  <c r="T607" i="6"/>
  <c r="T608" i="6"/>
  <c r="T609" i="6"/>
  <c r="T610" i="6"/>
  <c r="T611" i="6"/>
  <c r="T612" i="6"/>
  <c r="T613" i="6"/>
  <c r="T614" i="6"/>
  <c r="T615" i="6"/>
  <c r="T616" i="6"/>
  <c r="T617" i="6"/>
  <c r="T618" i="6"/>
  <c r="T619" i="6"/>
  <c r="T620" i="6"/>
  <c r="T621" i="6"/>
  <c r="T622" i="6"/>
  <c r="T623" i="6"/>
  <c r="T624" i="6"/>
  <c r="T2" i="6"/>
  <c r="S3" i="6"/>
  <c r="S4" i="6"/>
  <c r="S5" i="6"/>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238" i="6"/>
  <c r="S239" i="6"/>
  <c r="S240" i="6"/>
  <c r="S241" i="6"/>
  <c r="S242" i="6"/>
  <c r="S243" i="6"/>
  <c r="S244" i="6"/>
  <c r="S245" i="6"/>
  <c r="S246" i="6"/>
  <c r="S247" i="6"/>
  <c r="S248" i="6"/>
  <c r="S249" i="6"/>
  <c r="S250" i="6"/>
  <c r="S251" i="6"/>
  <c r="S252" i="6"/>
  <c r="S253" i="6"/>
  <c r="S254" i="6"/>
  <c r="S255" i="6"/>
  <c r="S256" i="6"/>
  <c r="S257" i="6"/>
  <c r="S258" i="6"/>
  <c r="S259" i="6"/>
  <c r="S260" i="6"/>
  <c r="S261" i="6"/>
  <c r="S262" i="6"/>
  <c r="S263" i="6"/>
  <c r="S264" i="6"/>
  <c r="S265" i="6"/>
  <c r="S266" i="6"/>
  <c r="S267" i="6"/>
  <c r="S268" i="6"/>
  <c r="S269" i="6"/>
  <c r="S270" i="6"/>
  <c r="S271" i="6"/>
  <c r="S272" i="6"/>
  <c r="S273" i="6"/>
  <c r="S274" i="6"/>
  <c r="S275" i="6"/>
  <c r="S276" i="6"/>
  <c r="S277" i="6"/>
  <c r="S278" i="6"/>
  <c r="S279" i="6"/>
  <c r="S280" i="6"/>
  <c r="S281" i="6"/>
  <c r="S282" i="6"/>
  <c r="S283" i="6"/>
  <c r="S284" i="6"/>
  <c r="S285" i="6"/>
  <c r="S286" i="6"/>
  <c r="S287" i="6"/>
  <c r="S288" i="6"/>
  <c r="S289" i="6"/>
  <c r="S290" i="6"/>
  <c r="S291" i="6"/>
  <c r="S292" i="6"/>
  <c r="S293" i="6"/>
  <c r="S294" i="6"/>
  <c r="S295" i="6"/>
  <c r="S296" i="6"/>
  <c r="S297" i="6"/>
  <c r="S298" i="6"/>
  <c r="S299" i="6"/>
  <c r="S300" i="6"/>
  <c r="S301" i="6"/>
  <c r="S302" i="6"/>
  <c r="S303" i="6"/>
  <c r="S304" i="6"/>
  <c r="S305" i="6"/>
  <c r="S306" i="6"/>
  <c r="S307" i="6"/>
  <c r="S308" i="6"/>
  <c r="S309" i="6"/>
  <c r="S310" i="6"/>
  <c r="S311" i="6"/>
  <c r="S312" i="6"/>
  <c r="S313" i="6"/>
  <c r="S314" i="6"/>
  <c r="S315" i="6"/>
  <c r="S316" i="6"/>
  <c r="S317" i="6"/>
  <c r="S318" i="6"/>
  <c r="S319" i="6"/>
  <c r="S320" i="6"/>
  <c r="S321" i="6"/>
  <c r="S322" i="6"/>
  <c r="S323" i="6"/>
  <c r="S324" i="6"/>
  <c r="S325" i="6"/>
  <c r="S326" i="6"/>
  <c r="S327" i="6"/>
  <c r="S328" i="6"/>
  <c r="S329" i="6"/>
  <c r="S330" i="6"/>
  <c r="S331" i="6"/>
  <c r="S332" i="6"/>
  <c r="S333" i="6"/>
  <c r="S334" i="6"/>
  <c r="S335" i="6"/>
  <c r="S336" i="6"/>
  <c r="S337" i="6"/>
  <c r="S338" i="6"/>
  <c r="S339" i="6"/>
  <c r="S340" i="6"/>
  <c r="S341" i="6"/>
  <c r="S342" i="6"/>
  <c r="S343" i="6"/>
  <c r="S344" i="6"/>
  <c r="S345" i="6"/>
  <c r="S346" i="6"/>
  <c r="S347" i="6"/>
  <c r="S348" i="6"/>
  <c r="S349" i="6"/>
  <c r="S350" i="6"/>
  <c r="S351" i="6"/>
  <c r="S352" i="6"/>
  <c r="S353" i="6"/>
  <c r="S354" i="6"/>
  <c r="S355" i="6"/>
  <c r="S356" i="6"/>
  <c r="S357" i="6"/>
  <c r="S358" i="6"/>
  <c r="S359" i="6"/>
  <c r="S360" i="6"/>
  <c r="S361" i="6"/>
  <c r="S362" i="6"/>
  <c r="S363" i="6"/>
  <c r="S364" i="6"/>
  <c r="S365" i="6"/>
  <c r="S366" i="6"/>
  <c r="S367" i="6"/>
  <c r="S368" i="6"/>
  <c r="S369" i="6"/>
  <c r="S370" i="6"/>
  <c r="S371" i="6"/>
  <c r="S372" i="6"/>
  <c r="S373" i="6"/>
  <c r="S374" i="6"/>
  <c r="S375" i="6"/>
  <c r="S376" i="6"/>
  <c r="S377" i="6"/>
  <c r="S378" i="6"/>
  <c r="S379" i="6"/>
  <c r="S380" i="6"/>
  <c r="S381" i="6"/>
  <c r="S382" i="6"/>
  <c r="S383" i="6"/>
  <c r="S384" i="6"/>
  <c r="S385" i="6"/>
  <c r="S386" i="6"/>
  <c r="S387" i="6"/>
  <c r="S388" i="6"/>
  <c r="S389" i="6"/>
  <c r="S390" i="6"/>
  <c r="S391" i="6"/>
  <c r="S392" i="6"/>
  <c r="S393" i="6"/>
  <c r="S394" i="6"/>
  <c r="S395" i="6"/>
  <c r="S396" i="6"/>
  <c r="S397" i="6"/>
  <c r="S398" i="6"/>
  <c r="S399" i="6"/>
  <c r="S400" i="6"/>
  <c r="S401" i="6"/>
  <c r="S402" i="6"/>
  <c r="S403" i="6"/>
  <c r="S404" i="6"/>
  <c r="S405" i="6"/>
  <c r="S406" i="6"/>
  <c r="S407" i="6"/>
  <c r="S408" i="6"/>
  <c r="S409" i="6"/>
  <c r="S410" i="6"/>
  <c r="S411" i="6"/>
  <c r="S412" i="6"/>
  <c r="S413" i="6"/>
  <c r="S414" i="6"/>
  <c r="S415" i="6"/>
  <c r="S416" i="6"/>
  <c r="S417" i="6"/>
  <c r="S418" i="6"/>
  <c r="S419" i="6"/>
  <c r="S420" i="6"/>
  <c r="S421" i="6"/>
  <c r="S422" i="6"/>
  <c r="S423" i="6"/>
  <c r="S424" i="6"/>
  <c r="S425" i="6"/>
  <c r="S426" i="6"/>
  <c r="S427" i="6"/>
  <c r="S428" i="6"/>
  <c r="S429" i="6"/>
  <c r="S430" i="6"/>
  <c r="S431" i="6"/>
  <c r="S432" i="6"/>
  <c r="S433" i="6"/>
  <c r="S434" i="6"/>
  <c r="S435" i="6"/>
  <c r="S436" i="6"/>
  <c r="S437" i="6"/>
  <c r="S438" i="6"/>
  <c r="S439" i="6"/>
  <c r="S440" i="6"/>
  <c r="S441" i="6"/>
  <c r="S442" i="6"/>
  <c r="S443" i="6"/>
  <c r="S444" i="6"/>
  <c r="S445" i="6"/>
  <c r="S446" i="6"/>
  <c r="S447" i="6"/>
  <c r="S448" i="6"/>
  <c r="S449" i="6"/>
  <c r="S450" i="6"/>
  <c r="S451" i="6"/>
  <c r="S452" i="6"/>
  <c r="S453" i="6"/>
  <c r="S454" i="6"/>
  <c r="S455" i="6"/>
  <c r="S456" i="6"/>
  <c r="S457" i="6"/>
  <c r="S458" i="6"/>
  <c r="S459" i="6"/>
  <c r="S460" i="6"/>
  <c r="S461" i="6"/>
  <c r="S462" i="6"/>
  <c r="S463" i="6"/>
  <c r="S464" i="6"/>
  <c r="S465" i="6"/>
  <c r="S466" i="6"/>
  <c r="S467" i="6"/>
  <c r="S468" i="6"/>
  <c r="S469" i="6"/>
  <c r="S470" i="6"/>
  <c r="S471" i="6"/>
  <c r="S472" i="6"/>
  <c r="S473" i="6"/>
  <c r="S474" i="6"/>
  <c r="S475" i="6"/>
  <c r="S476" i="6"/>
  <c r="S477" i="6"/>
  <c r="S478" i="6"/>
  <c r="S479" i="6"/>
  <c r="S480" i="6"/>
  <c r="S481" i="6"/>
  <c r="S482" i="6"/>
  <c r="S483" i="6"/>
  <c r="S484" i="6"/>
  <c r="S485" i="6"/>
  <c r="S486" i="6"/>
  <c r="S487" i="6"/>
  <c r="S488" i="6"/>
  <c r="S489" i="6"/>
  <c r="S490" i="6"/>
  <c r="S491" i="6"/>
  <c r="S492" i="6"/>
  <c r="S493" i="6"/>
  <c r="S494" i="6"/>
  <c r="S495" i="6"/>
  <c r="S496" i="6"/>
  <c r="S497" i="6"/>
  <c r="S498" i="6"/>
  <c r="S499" i="6"/>
  <c r="S500" i="6"/>
  <c r="S501" i="6"/>
  <c r="S502" i="6"/>
  <c r="S503" i="6"/>
  <c r="S504" i="6"/>
  <c r="S505" i="6"/>
  <c r="S506" i="6"/>
  <c r="S507" i="6"/>
  <c r="S508" i="6"/>
  <c r="S509" i="6"/>
  <c r="S510" i="6"/>
  <c r="S511" i="6"/>
  <c r="S512" i="6"/>
  <c r="S513" i="6"/>
  <c r="S514" i="6"/>
  <c r="S515" i="6"/>
  <c r="S516" i="6"/>
  <c r="S517" i="6"/>
  <c r="S518" i="6"/>
  <c r="S519" i="6"/>
  <c r="S520" i="6"/>
  <c r="S521" i="6"/>
  <c r="S522" i="6"/>
  <c r="S523" i="6"/>
  <c r="S524" i="6"/>
  <c r="S525" i="6"/>
  <c r="S526" i="6"/>
  <c r="S527" i="6"/>
  <c r="S528" i="6"/>
  <c r="S529" i="6"/>
  <c r="S530" i="6"/>
  <c r="S531" i="6"/>
  <c r="S532" i="6"/>
  <c r="S533" i="6"/>
  <c r="S534" i="6"/>
  <c r="S535" i="6"/>
  <c r="S536" i="6"/>
  <c r="S537" i="6"/>
  <c r="S538" i="6"/>
  <c r="S539" i="6"/>
  <c r="S540" i="6"/>
  <c r="S541" i="6"/>
  <c r="S542" i="6"/>
  <c r="S543" i="6"/>
  <c r="S544" i="6"/>
  <c r="S545" i="6"/>
  <c r="S546" i="6"/>
  <c r="S547" i="6"/>
  <c r="S548" i="6"/>
  <c r="S549" i="6"/>
  <c r="S550" i="6"/>
  <c r="S551" i="6"/>
  <c r="S552" i="6"/>
  <c r="S553" i="6"/>
  <c r="S554" i="6"/>
  <c r="S555" i="6"/>
  <c r="S556" i="6"/>
  <c r="S557" i="6"/>
  <c r="S558" i="6"/>
  <c r="S559" i="6"/>
  <c r="S560" i="6"/>
  <c r="S561" i="6"/>
  <c r="S562" i="6"/>
  <c r="S563" i="6"/>
  <c r="S564" i="6"/>
  <c r="S565" i="6"/>
  <c r="S566" i="6"/>
  <c r="S567" i="6"/>
  <c r="S568" i="6"/>
  <c r="S569" i="6"/>
  <c r="S570" i="6"/>
  <c r="S571" i="6"/>
  <c r="S572" i="6"/>
  <c r="S573" i="6"/>
  <c r="S574" i="6"/>
  <c r="S575" i="6"/>
  <c r="S576" i="6"/>
  <c r="S577" i="6"/>
  <c r="S578" i="6"/>
  <c r="S579" i="6"/>
  <c r="S580" i="6"/>
  <c r="S581" i="6"/>
  <c r="S582" i="6"/>
  <c r="S583" i="6"/>
  <c r="S584" i="6"/>
  <c r="S585" i="6"/>
  <c r="S586" i="6"/>
  <c r="S587" i="6"/>
  <c r="S588" i="6"/>
  <c r="S589" i="6"/>
  <c r="S590" i="6"/>
  <c r="S591" i="6"/>
  <c r="S592" i="6"/>
  <c r="S593" i="6"/>
  <c r="S594" i="6"/>
  <c r="S595" i="6"/>
  <c r="S596" i="6"/>
  <c r="S597" i="6"/>
  <c r="S598" i="6"/>
  <c r="S599" i="6"/>
  <c r="S600" i="6"/>
  <c r="S601" i="6"/>
  <c r="S602" i="6"/>
  <c r="S603" i="6"/>
  <c r="S604" i="6"/>
  <c r="S605" i="6"/>
  <c r="S606" i="6"/>
  <c r="S607" i="6"/>
  <c r="S608" i="6"/>
  <c r="S609" i="6"/>
  <c r="S610" i="6"/>
  <c r="S611" i="6"/>
  <c r="S612" i="6"/>
  <c r="S613" i="6"/>
  <c r="S614" i="6"/>
  <c r="S615" i="6"/>
  <c r="S616" i="6"/>
  <c r="S617" i="6"/>
  <c r="S618" i="6"/>
  <c r="S619" i="6"/>
  <c r="S620" i="6"/>
  <c r="S621" i="6"/>
  <c r="S622" i="6"/>
  <c r="S623" i="6"/>
  <c r="S624" i="6"/>
  <c r="S2" i="6"/>
  <c r="X301" i="6"/>
  <c r="X453" i="6"/>
  <c r="X13" i="6"/>
  <c r="X9" i="6"/>
  <c r="R453" i="6"/>
  <c r="R13" i="6"/>
  <c r="R9" i="6"/>
  <c r="R301" i="6"/>
  <c r="X493" i="6"/>
  <c r="X154" i="6"/>
  <c r="X205" i="6"/>
  <c r="X406" i="6"/>
  <c r="X497" i="6"/>
  <c r="X77" i="6"/>
  <c r="X293" i="6"/>
  <c r="X373" i="6"/>
  <c r="X430" i="6"/>
  <c r="X256" i="6"/>
  <c r="X348" i="6"/>
  <c r="X420" i="6"/>
  <c r="X198" i="6"/>
  <c r="X423" i="6"/>
  <c r="X327" i="6"/>
  <c r="X266" i="6"/>
  <c r="X144" i="6"/>
  <c r="X162" i="6"/>
  <c r="X292" i="6"/>
  <c r="X504" i="6"/>
  <c r="X574" i="6"/>
  <c r="X530" i="6"/>
  <c r="X518" i="6"/>
  <c r="X135" i="6"/>
  <c r="X298" i="6"/>
  <c r="X619" i="6"/>
  <c r="X620" i="6"/>
  <c r="X278" i="6"/>
  <c r="X516" i="6"/>
  <c r="X549" i="6"/>
  <c r="X544" i="6"/>
  <c r="X448" i="6"/>
  <c r="X437" i="6"/>
  <c r="X95" i="6"/>
  <c r="X243" i="6"/>
  <c r="X87" i="6"/>
  <c r="X375" i="6"/>
  <c r="X565" i="6"/>
  <c r="X556" i="6"/>
  <c r="X351" i="6"/>
  <c r="X344" i="6"/>
  <c r="X326" i="6"/>
  <c r="X482" i="6"/>
  <c r="X187" i="6"/>
  <c r="X237" i="6"/>
  <c r="X553" i="6"/>
  <c r="X232" i="6"/>
  <c r="X20" i="6"/>
  <c r="X231" i="6"/>
  <c r="X133" i="6"/>
  <c r="X438" i="6"/>
  <c r="X317" i="6"/>
  <c r="X68" i="6"/>
  <c r="X374" i="6"/>
  <c r="X451" i="6"/>
  <c r="X152" i="6"/>
  <c r="X389" i="6"/>
  <c r="X195" i="6"/>
  <c r="X488" i="6"/>
  <c r="X66" i="6"/>
  <c r="X381" i="6"/>
  <c r="X484" i="6"/>
  <c r="X341" i="6"/>
  <c r="X412" i="6"/>
  <c r="X419" i="6"/>
  <c r="X335" i="6"/>
  <c r="X169" i="6"/>
  <c r="X165" i="6"/>
  <c r="X29" i="6"/>
  <c r="X142" i="6"/>
  <c r="X71" i="6"/>
  <c r="X149" i="6"/>
  <c r="X598" i="6"/>
  <c r="X613" i="6"/>
  <c r="X145" i="6"/>
  <c r="X186" i="6"/>
  <c r="X128" i="6"/>
  <c r="X194" i="6"/>
  <c r="X585" i="6"/>
  <c r="X528" i="6"/>
  <c r="X365" i="6"/>
  <c r="X35" i="6"/>
  <c r="X171" i="6"/>
  <c r="X150" i="6"/>
  <c r="X387" i="6"/>
  <c r="X56" i="6"/>
  <c r="X7" i="6"/>
  <c r="X250" i="6"/>
  <c r="X512" i="6"/>
  <c r="X200" i="6"/>
  <c r="X600" i="6"/>
  <c r="X532" i="6"/>
  <c r="X290" i="6"/>
  <c r="X519" i="6"/>
  <c r="X211" i="6"/>
  <c r="X371" i="6"/>
  <c r="X432" i="6"/>
  <c r="X180" i="6"/>
  <c r="X481" i="6"/>
  <c r="X324" i="6"/>
  <c r="X323" i="6"/>
  <c r="X230" i="6"/>
  <c r="X138" i="6"/>
  <c r="X286" i="6"/>
  <c r="X399" i="6"/>
  <c r="X582" i="6"/>
  <c r="X275" i="6"/>
  <c r="X125" i="6"/>
  <c r="X51" i="6"/>
  <c r="X396" i="6"/>
  <c r="X614" i="6"/>
  <c r="X446" i="6"/>
  <c r="X124" i="6"/>
  <c r="X111" i="6"/>
  <c r="X82" i="6"/>
  <c r="X505" i="6"/>
  <c r="X268" i="6"/>
  <c r="X61" i="6"/>
  <c r="X376" i="6"/>
  <c r="X546" i="6"/>
  <c r="X329" i="6"/>
  <c r="X465" i="6"/>
  <c r="X485" i="6"/>
  <c r="X475" i="6"/>
  <c r="X161" i="6"/>
  <c r="X215" i="6"/>
  <c r="X358" i="6"/>
  <c r="X265" i="6"/>
  <c r="X385" i="6"/>
  <c r="X273" i="6"/>
  <c r="X30" i="6"/>
  <c r="X67" i="6"/>
  <c r="X151" i="6"/>
  <c r="X393" i="6"/>
  <c r="X342" i="6"/>
  <c r="X354" i="6"/>
  <c r="X245" i="6"/>
  <c r="X192" i="6"/>
  <c r="X527" i="6"/>
  <c r="X27" i="6"/>
  <c r="X470" i="6"/>
  <c r="X558" i="6"/>
  <c r="X102" i="6"/>
  <c r="X204" i="6"/>
  <c r="X615" i="6"/>
  <c r="X299" i="6"/>
  <c r="X108" i="6"/>
  <c r="X594" i="6"/>
  <c r="X244" i="6"/>
  <c r="X338" i="6"/>
  <c r="X130" i="6"/>
  <c r="X583" i="6"/>
  <c r="X464" i="6"/>
  <c r="X50" i="6"/>
  <c r="X513" i="6"/>
  <c r="X241" i="6"/>
  <c r="X248" i="6"/>
  <c r="X270" i="6"/>
  <c r="X441" i="6"/>
  <c r="X474" i="6"/>
  <c r="X57" i="6"/>
  <c r="X40" i="6"/>
  <c r="X64" i="6"/>
  <c r="X177" i="6"/>
  <c r="X593" i="6"/>
  <c r="X255" i="6"/>
  <c r="X316" i="6"/>
  <c r="X33" i="6"/>
  <c r="X119" i="6"/>
  <c r="X321" i="6"/>
  <c r="X366" i="6"/>
  <c r="X318" i="6"/>
  <c r="X480" i="6"/>
  <c r="X561" i="6"/>
  <c r="X58" i="6"/>
  <c r="X143" i="6"/>
  <c r="X572" i="6"/>
  <c r="X523" i="6"/>
  <c r="X228" i="6"/>
  <c r="X402" i="6"/>
  <c r="X239" i="6"/>
  <c r="X32" i="6"/>
  <c r="X295" i="6"/>
  <c r="X140" i="6"/>
  <c r="X12" i="6"/>
  <c r="X361" i="6"/>
  <c r="X300" i="6"/>
  <c r="X291" i="6"/>
  <c r="X521" i="6"/>
  <c r="X520" i="6"/>
  <c r="X41" i="6"/>
  <c r="X330" i="6"/>
  <c r="X306" i="6"/>
  <c r="X254" i="6"/>
  <c r="X4" i="6"/>
  <c r="X131" i="6"/>
  <c r="X264" i="6"/>
  <c r="X533" i="6"/>
  <c r="X98" i="6"/>
  <c r="X141" i="6"/>
  <c r="X271" i="6"/>
  <c r="X559" i="6"/>
  <c r="X83" i="6"/>
  <c r="X390" i="6"/>
  <c r="X624" i="6"/>
  <c r="X541" i="6"/>
  <c r="X567" i="6"/>
  <c r="X229" i="6"/>
  <c r="X158" i="6"/>
  <c r="X489" i="6"/>
  <c r="X310" i="6"/>
  <c r="X397" i="6"/>
  <c r="X456" i="6"/>
  <c r="X188" i="6"/>
  <c r="X494" i="6"/>
  <c r="X132" i="6"/>
  <c r="X515" i="6"/>
  <c r="X461" i="6"/>
  <c r="X222" i="6"/>
  <c r="X257" i="6"/>
  <c r="X175" i="6"/>
  <c r="X384" i="6"/>
  <c r="X49" i="6"/>
  <c r="X468" i="6"/>
  <c r="X417" i="6"/>
  <c r="X280" i="6"/>
  <c r="X179" i="6"/>
  <c r="X491" i="6"/>
  <c r="X85" i="6"/>
  <c r="X538" i="6"/>
  <c r="X289" i="6"/>
  <c r="X442" i="6"/>
  <c r="X214" i="6"/>
  <c r="X114" i="6"/>
  <c r="X392" i="6"/>
  <c r="X107" i="6"/>
  <c r="X168" i="6"/>
  <c r="X234" i="6"/>
  <c r="X202" i="6"/>
  <c r="X564" i="6"/>
  <c r="X72" i="6"/>
  <c r="X525" i="6"/>
  <c r="X104" i="6"/>
  <c r="X611" i="6"/>
  <c r="X279" i="6"/>
  <c r="X552" i="6"/>
  <c r="X463" i="6"/>
  <c r="X246" i="6"/>
  <c r="X259" i="6"/>
  <c r="X97" i="6"/>
  <c r="X129" i="6"/>
  <c r="X3" i="6"/>
  <c r="X499" i="6"/>
  <c r="X411" i="6"/>
  <c r="X570" i="6"/>
  <c r="X408" i="6"/>
  <c r="X466" i="6"/>
  <c r="X45" i="6"/>
  <c r="X591" i="6"/>
  <c r="X11" i="6"/>
  <c r="X407" i="6"/>
  <c r="X285" i="6"/>
  <c r="X517" i="6"/>
  <c r="X89" i="6"/>
  <c r="X15" i="6"/>
  <c r="X210" i="6"/>
  <c r="X334" i="6"/>
  <c r="X510" i="6"/>
  <c r="X550" i="6"/>
  <c r="X416" i="6"/>
  <c r="X157" i="6"/>
  <c r="X328" i="6"/>
  <c r="X137" i="6"/>
  <c r="X418" i="6"/>
  <c r="X184" i="6"/>
  <c r="X267" i="6"/>
  <c r="X242" i="6"/>
  <c r="X224" i="6"/>
  <c r="X542" i="6"/>
  <c r="X39" i="6"/>
  <c r="X587" i="6"/>
  <c r="X148" i="6"/>
  <c r="X554" i="6"/>
  <c r="X170" i="6"/>
  <c r="X199" i="6"/>
  <c r="X120" i="6"/>
  <c r="X81" i="6"/>
  <c r="X382" i="6"/>
  <c r="X189" i="6"/>
  <c r="X495" i="6"/>
  <c r="X121" i="6"/>
  <c r="X607" i="6"/>
  <c r="X339" i="6"/>
  <c r="X59" i="6"/>
  <c r="X431" i="6"/>
  <c r="X311" i="6"/>
  <c r="X529" i="6"/>
  <c r="X571" i="6"/>
  <c r="X247" i="6"/>
  <c r="X101" i="6"/>
  <c r="X139" i="6"/>
  <c r="X80" i="6"/>
  <c r="X43" i="6"/>
  <c r="X454" i="6"/>
  <c r="X47" i="6"/>
  <c r="X609" i="6"/>
  <c r="AA9" i="4"/>
  <c r="X498" i="6"/>
  <c r="X313" i="6"/>
  <c r="X506" i="6"/>
  <c r="X535" i="6"/>
  <c r="X53" i="6"/>
  <c r="X622" i="6"/>
  <c r="X105" i="6"/>
  <c r="X262" i="6"/>
  <c r="X44" i="6"/>
  <c r="X116" i="6"/>
  <c r="X220" i="6"/>
  <c r="X94" i="6"/>
  <c r="X395" i="6"/>
  <c r="X320" i="6"/>
  <c r="X363" i="6"/>
  <c r="X548" i="6"/>
  <c r="X502" i="6"/>
  <c r="X223" i="6"/>
  <c r="X602" i="6"/>
  <c r="X88" i="6"/>
  <c r="X349" i="6"/>
  <c r="X176" i="6"/>
  <c r="X55" i="6"/>
  <c r="X560" i="6"/>
  <c r="X606" i="6"/>
  <c r="X8" i="6"/>
  <c r="X355" i="6"/>
  <c r="X209" i="6"/>
  <c r="X281" i="6"/>
  <c r="X383" i="6"/>
  <c r="X303" i="6"/>
  <c r="X127" i="6"/>
  <c r="X391" i="6"/>
  <c r="X337" i="6"/>
  <c r="X322" i="6"/>
  <c r="X551" i="6"/>
  <c r="X597" i="6"/>
  <c r="X578" i="6"/>
  <c r="X577" i="6"/>
  <c r="X604" i="6"/>
  <c r="X90" i="6"/>
  <c r="X21" i="6"/>
  <c r="X471" i="6"/>
  <c r="X618" i="6"/>
  <c r="X159" i="6"/>
  <c r="X409" i="6"/>
  <c r="X219" i="6"/>
  <c r="X185" i="6"/>
  <c r="X364" i="6"/>
  <c r="X590" i="6"/>
  <c r="X573" i="6"/>
  <c r="X117" i="6"/>
  <c r="X122" i="6"/>
  <c r="X62" i="6"/>
  <c r="X360" i="6"/>
  <c r="X226" i="6"/>
  <c r="X305" i="6"/>
  <c r="X22" i="6"/>
  <c r="X233" i="6"/>
  <c r="X508" i="6"/>
  <c r="X18" i="6"/>
  <c r="X347" i="6"/>
  <c r="X405" i="6"/>
  <c r="X450" i="6"/>
  <c r="X79" i="6"/>
  <c r="X486" i="6"/>
  <c r="X452" i="6"/>
  <c r="X514" i="6"/>
  <c r="X511" i="6"/>
  <c r="X197" i="6"/>
  <c r="X276" i="6"/>
  <c r="X217" i="6"/>
  <c r="X288" i="6"/>
  <c r="X537" i="6"/>
  <c r="X503" i="6"/>
  <c r="X201" i="6"/>
  <c r="X350" i="6"/>
  <c r="X181" i="6"/>
  <c r="X459" i="6"/>
  <c r="X372" i="6"/>
  <c r="X75" i="6"/>
  <c r="X377" i="6"/>
  <c r="X534" i="6"/>
  <c r="X445" i="6"/>
  <c r="X235" i="6"/>
  <c r="X38" i="6"/>
  <c r="X297" i="6"/>
  <c r="X595" i="6"/>
  <c r="X196" i="6"/>
  <c r="X249" i="6"/>
  <c r="X500" i="6"/>
  <c r="X557" i="6"/>
  <c r="X531" i="6"/>
  <c r="X422" i="6"/>
  <c r="X424" i="6"/>
  <c r="X191" i="6"/>
  <c r="X146" i="6"/>
  <c r="X173" i="6"/>
  <c r="X207" i="6"/>
  <c r="X5" i="6"/>
  <c r="X178" i="6"/>
  <c r="X596" i="6"/>
  <c r="X433" i="6"/>
  <c r="X340" i="6"/>
  <c r="X370" i="6"/>
  <c r="X203" i="6"/>
  <c r="X28" i="6"/>
  <c r="X134" i="6"/>
  <c r="X96" i="6"/>
  <c r="X183" i="6"/>
  <c r="X86" i="6"/>
  <c r="X260" i="6"/>
  <c r="X359" i="6"/>
  <c r="X536" i="6"/>
  <c r="X476" i="6"/>
  <c r="X444" i="6"/>
  <c r="X603" i="6"/>
  <c r="X112" i="6"/>
  <c r="X427" i="6"/>
  <c r="X421" i="6"/>
  <c r="X269" i="6"/>
  <c r="X225" i="6"/>
  <c r="X345" i="6"/>
  <c r="X483" i="6"/>
  <c r="X60" i="6"/>
  <c r="X304" i="6"/>
  <c r="X103" i="6"/>
  <c r="X110" i="6"/>
  <c r="X414" i="6"/>
  <c r="X608" i="6"/>
  <c r="X443" i="6"/>
  <c r="X206" i="6"/>
  <c r="X274" i="6"/>
  <c r="X612" i="6"/>
  <c r="X353" i="6"/>
  <c r="X54" i="6"/>
  <c r="X73" i="6"/>
  <c r="X163" i="6"/>
  <c r="X109" i="6"/>
  <c r="X6" i="6"/>
  <c r="X346" i="6"/>
  <c r="X352" i="6"/>
  <c r="X605" i="6"/>
  <c r="X332" i="6"/>
  <c r="X478" i="6"/>
  <c r="X218" i="6"/>
  <c r="X545" i="6"/>
  <c r="X93" i="6"/>
  <c r="X579" i="6"/>
  <c r="X581" i="6"/>
  <c r="X10" i="6"/>
  <c r="X91" i="6"/>
  <c r="X307" i="6"/>
  <c r="X380" i="6"/>
  <c r="X487" i="6"/>
  <c r="X253" i="6"/>
  <c r="X193" i="6"/>
  <c r="X589" i="6"/>
  <c r="X601" i="6"/>
  <c r="X156" i="6"/>
  <c r="X543" i="6"/>
  <c r="X586" i="6"/>
  <c r="X447" i="6"/>
  <c r="X78" i="6"/>
  <c r="X440" i="6"/>
  <c r="X439" i="6"/>
  <c r="X155" i="6"/>
  <c r="X386" i="6"/>
  <c r="X14" i="6"/>
  <c r="X294" i="6"/>
  <c r="X580" i="6"/>
  <c r="X410" i="6"/>
  <c r="X312" i="6"/>
  <c r="X136" i="6"/>
  <c r="X70" i="6"/>
  <c r="X118" i="6"/>
  <c r="X238" i="6"/>
  <c r="X302" i="6"/>
  <c r="X147" i="6"/>
  <c r="X369" i="6"/>
  <c r="X153" i="6"/>
  <c r="X617" i="6"/>
  <c r="X236" i="6"/>
  <c r="X160" i="6"/>
  <c r="X17" i="6"/>
  <c r="X388" i="6"/>
  <c r="X172" i="6"/>
  <c r="X568" i="6"/>
  <c r="X308" i="6"/>
  <c r="X490" i="6"/>
  <c r="X496" i="6"/>
  <c r="X449" i="6"/>
  <c r="X296" i="6"/>
  <c r="X272" i="6"/>
  <c r="X415" i="6"/>
  <c r="X473" i="6"/>
  <c r="X378" i="6"/>
  <c r="X469" i="6"/>
  <c r="X261" i="6"/>
  <c r="X31" i="6"/>
  <c r="X343" i="6"/>
  <c r="X566" i="6"/>
  <c r="X394" i="6"/>
  <c r="X455" i="6"/>
  <c r="X460" i="6"/>
  <c r="X575" i="6"/>
  <c r="X547" i="6"/>
  <c r="X113" i="6"/>
  <c r="X336" i="6"/>
  <c r="X616" i="6"/>
  <c r="X569" i="6"/>
  <c r="X413" i="6"/>
  <c r="X576" i="6"/>
  <c r="X479" i="6"/>
  <c r="X221" i="6"/>
  <c r="X599" i="6"/>
  <c r="X526" i="6"/>
  <c r="X477" i="6"/>
  <c r="X592" i="6"/>
  <c r="X357" i="6"/>
  <c r="X472" i="6"/>
  <c r="X333" i="6"/>
  <c r="X379" i="6"/>
  <c r="X277" i="6"/>
  <c r="X25" i="6"/>
  <c r="X36" i="6"/>
  <c r="X115" i="6"/>
  <c r="X457" i="6"/>
  <c r="X100" i="6"/>
  <c r="X92" i="6"/>
  <c r="X23" i="6"/>
  <c r="X331" i="6"/>
  <c r="X434" i="6"/>
  <c r="X282" i="6"/>
  <c r="X400" i="6"/>
  <c r="X37" i="6"/>
  <c r="X19" i="6"/>
  <c r="X24" i="6"/>
  <c r="X401" i="6"/>
  <c r="X509" i="6"/>
  <c r="X263" i="6"/>
  <c r="X429" i="6"/>
  <c r="X227" i="6"/>
  <c r="X26" i="6"/>
  <c r="X213" i="6"/>
  <c r="X314" i="6"/>
  <c r="X555" i="6"/>
  <c r="X76" i="6"/>
  <c r="X428" i="6"/>
  <c r="X164" i="6"/>
  <c r="X52" i="6"/>
  <c r="X252" i="6"/>
  <c r="X65" i="6"/>
  <c r="X462" i="6"/>
  <c r="X84" i="6"/>
  <c r="X458" i="6"/>
  <c r="X368" i="6"/>
  <c r="X34" i="6"/>
  <c r="X99" i="6"/>
  <c r="X16" i="6"/>
  <c r="X404" i="6"/>
  <c r="X426" i="6"/>
  <c r="X208" i="6"/>
  <c r="X562" i="6"/>
  <c r="X174" i="6"/>
  <c r="X563" i="6"/>
  <c r="X522" i="6"/>
  <c r="X325" i="6"/>
  <c r="X540" i="6"/>
  <c r="X501" i="6"/>
  <c r="X309" i="6"/>
  <c r="X126" i="6"/>
  <c r="X356" i="6"/>
  <c r="X507" i="6"/>
  <c r="X398" i="6"/>
  <c r="X623" i="6"/>
  <c r="X287" i="6"/>
  <c r="X167" i="6"/>
  <c r="X283" i="6"/>
  <c r="X69" i="6"/>
  <c r="X240" i="6"/>
  <c r="X367" i="6"/>
  <c r="X436" i="6"/>
  <c r="X190" i="6"/>
  <c r="X524" i="6"/>
  <c r="X621" i="6"/>
  <c r="X2" i="6"/>
  <c r="X284" i="6"/>
  <c r="X42" i="6"/>
  <c r="X610" i="6"/>
  <c r="X319" i="6"/>
  <c r="X106" i="6"/>
  <c r="X258" i="6"/>
  <c r="X46" i="6"/>
  <c r="X362" i="6"/>
  <c r="X251" i="6"/>
  <c r="X492" i="6"/>
  <c r="X425" i="6"/>
  <c r="X166" i="6"/>
  <c r="X212" i="6"/>
  <c r="X467" i="6"/>
  <c r="X74" i="6"/>
  <c r="X123" i="6"/>
  <c r="X539" i="6"/>
  <c r="X216" i="6"/>
  <c r="X48" i="6"/>
  <c r="X315" i="6"/>
  <c r="X63" i="6"/>
  <c r="X584" i="6"/>
  <c r="X403" i="6"/>
  <c r="X435" i="6"/>
  <c r="X588" i="6"/>
  <c r="X182" i="6"/>
  <c r="R493" i="6"/>
  <c r="R182" i="6"/>
  <c r="R584" i="6"/>
  <c r="R287" i="6"/>
  <c r="R26" i="6"/>
  <c r="R428" i="6"/>
  <c r="R63" i="6"/>
  <c r="R76" i="6"/>
  <c r="R227" i="6"/>
  <c r="R413" i="6"/>
  <c r="R315" i="6"/>
  <c r="R623" i="6"/>
  <c r="R429" i="6"/>
  <c r="R588" i="6"/>
  <c r="R48" i="6"/>
  <c r="R555" i="6"/>
  <c r="R263" i="6"/>
  <c r="R569" i="6"/>
  <c r="R216" i="6"/>
  <c r="R398" i="6"/>
  <c r="R509" i="6"/>
  <c r="R435" i="6"/>
  <c r="R539" i="6"/>
  <c r="R314" i="6"/>
  <c r="R401" i="6"/>
  <c r="R616" i="6"/>
  <c r="R123" i="6"/>
  <c r="R507" i="6"/>
  <c r="R24" i="6"/>
  <c r="R403" i="6"/>
  <c r="R74" i="6"/>
  <c r="R213" i="6"/>
  <c r="R19" i="6"/>
  <c r="R336" i="6"/>
  <c r="R467" i="6"/>
  <c r="R356" i="6"/>
  <c r="R37" i="6"/>
  <c r="R113" i="6"/>
  <c r="R212" i="6"/>
  <c r="R126" i="6"/>
  <c r="R400" i="6"/>
  <c r="R547" i="6"/>
  <c r="R166" i="6"/>
  <c r="R309" i="6"/>
  <c r="R282" i="6"/>
  <c r="R575" i="6"/>
  <c r="R425" i="6"/>
  <c r="R501" i="6"/>
  <c r="R434" i="6"/>
  <c r="R460" i="6"/>
  <c r="R492" i="6"/>
  <c r="R540" i="6"/>
  <c r="R331" i="6"/>
  <c r="R455" i="6"/>
  <c r="R251" i="6"/>
  <c r="R325" i="6"/>
  <c r="R23" i="6"/>
  <c r="R394" i="6"/>
  <c r="R362" i="6"/>
  <c r="R522" i="6"/>
  <c r="R92" i="6"/>
  <c r="R566" i="6"/>
  <c r="R46" i="6"/>
  <c r="R563" i="6"/>
  <c r="R100" i="6"/>
  <c r="R343" i="6"/>
  <c r="R258" i="6"/>
  <c r="R174" i="6"/>
  <c r="R457" i="6"/>
  <c r="R31" i="6"/>
  <c r="R106" i="6"/>
  <c r="R562" i="6"/>
  <c r="R115" i="6"/>
  <c r="R261" i="6"/>
  <c r="R319" i="6"/>
  <c r="R208" i="6"/>
  <c r="R36" i="6"/>
  <c r="R469" i="6"/>
  <c r="R610" i="6"/>
  <c r="R426" i="6"/>
  <c r="R25" i="6"/>
  <c r="R378" i="6"/>
  <c r="R42" i="6"/>
  <c r="R404" i="6"/>
  <c r="R277" i="6"/>
  <c r="R473" i="6"/>
  <c r="R284" i="6"/>
  <c r="R16" i="6"/>
  <c r="R379" i="6"/>
  <c r="R415" i="6"/>
  <c r="R2" i="6"/>
  <c r="R99" i="6"/>
  <c r="R333" i="6"/>
  <c r="R272" i="6"/>
  <c r="R621" i="6"/>
  <c r="R34" i="6"/>
  <c r="R472" i="6"/>
  <c r="R296" i="6"/>
  <c r="R524" i="6"/>
  <c r="R368" i="6"/>
  <c r="R357" i="6"/>
  <c r="R449" i="6"/>
  <c r="R190" i="6"/>
  <c r="R458" i="6"/>
  <c r="R592" i="6"/>
  <c r="R496" i="6"/>
  <c r="R436" i="6"/>
  <c r="R84" i="6"/>
  <c r="R477" i="6"/>
  <c r="R490" i="6"/>
  <c r="R367" i="6"/>
  <c r="R462" i="6"/>
  <c r="R526" i="6"/>
  <c r="R308" i="6"/>
  <c r="R160" i="6"/>
  <c r="R240" i="6"/>
  <c r="R279" i="6"/>
  <c r="R65" i="6"/>
  <c r="R236" i="6"/>
  <c r="R599" i="6"/>
  <c r="R611" i="6"/>
  <c r="R568" i="6"/>
  <c r="R617" i="6"/>
  <c r="R69" i="6"/>
  <c r="R104" i="6"/>
  <c r="R252" i="6"/>
  <c r="R153" i="6"/>
  <c r="R221" i="6"/>
  <c r="R525" i="6"/>
  <c r="R172" i="6"/>
  <c r="R369" i="6"/>
  <c r="R283" i="6"/>
  <c r="R72" i="6"/>
  <c r="R52" i="6"/>
  <c r="R147" i="6"/>
  <c r="R479" i="6"/>
  <c r="R564" i="6"/>
  <c r="R388" i="6"/>
  <c r="R302" i="6"/>
  <c r="R167" i="6"/>
  <c r="R202" i="6"/>
  <c r="R164" i="6"/>
  <c r="R238" i="6"/>
  <c r="R576" i="6"/>
  <c r="R234" i="6"/>
  <c r="R17" i="6"/>
  <c r="R118" i="6"/>
  <c r="R305" i="6"/>
  <c r="R168" i="6"/>
  <c r="R376" i="6"/>
  <c r="R70" i="6"/>
  <c r="R226" i="6"/>
  <c r="R107" i="6"/>
  <c r="R61" i="6"/>
  <c r="R136" i="6"/>
  <c r="R360" i="6"/>
  <c r="R392" i="6"/>
  <c r="R268" i="6"/>
  <c r="R312" i="6"/>
  <c r="R62" i="6"/>
  <c r="R114" i="6"/>
  <c r="R505" i="6"/>
  <c r="R410" i="6"/>
  <c r="R122" i="6"/>
  <c r="R214" i="6"/>
  <c r="R82" i="6"/>
  <c r="R580" i="6"/>
  <c r="R117" i="6"/>
  <c r="R442" i="6"/>
  <c r="R111" i="6"/>
  <c r="R294" i="6"/>
  <c r="R573" i="6"/>
  <c r="R289" i="6"/>
  <c r="R124" i="6"/>
  <c r="R14" i="6"/>
  <c r="R590" i="6"/>
  <c r="R538" i="6"/>
  <c r="R446" i="6"/>
  <c r="R386" i="6"/>
  <c r="R364" i="6"/>
  <c r="R85" i="6"/>
  <c r="R614" i="6"/>
  <c r="R155" i="6"/>
  <c r="R185" i="6"/>
  <c r="R491" i="6"/>
  <c r="R396" i="6"/>
  <c r="R439" i="6"/>
  <c r="R219" i="6"/>
  <c r="R179" i="6"/>
  <c r="R51" i="6"/>
  <c r="R440" i="6"/>
  <c r="R409" i="6"/>
  <c r="R280" i="6"/>
  <c r="R125" i="6"/>
  <c r="R78" i="6"/>
  <c r="R159" i="6"/>
  <c r="R417" i="6"/>
  <c r="R275" i="6"/>
  <c r="R447" i="6"/>
  <c r="R618" i="6"/>
  <c r="R468" i="6"/>
  <c r="R582" i="6"/>
  <c r="R586" i="6"/>
  <c r="R471" i="6"/>
  <c r="R49" i="6"/>
  <c r="R399" i="6"/>
  <c r="R543" i="6"/>
  <c r="R21" i="6"/>
  <c r="R384" i="6"/>
  <c r="R286" i="6"/>
  <c r="R156" i="6"/>
  <c r="R90" i="6"/>
  <c r="R175" i="6"/>
  <c r="R138" i="6"/>
  <c r="R601" i="6"/>
  <c r="R604" i="6"/>
  <c r="R257" i="6"/>
  <c r="R230" i="6"/>
  <c r="R589" i="6"/>
  <c r="R577" i="6"/>
  <c r="R222" i="6"/>
  <c r="R323" i="6"/>
  <c r="R193" i="6"/>
  <c r="R578" i="6"/>
  <c r="R461" i="6"/>
  <c r="R324" i="6"/>
  <c r="R253" i="6"/>
  <c r="R597" i="6"/>
  <c r="R515" i="6"/>
  <c r="R481" i="6"/>
  <c r="R487" i="6"/>
  <c r="R551" i="6"/>
  <c r="R132" i="6"/>
  <c r="R180" i="6"/>
  <c r="R380" i="6"/>
  <c r="R322" i="6"/>
  <c r="R494" i="6"/>
  <c r="R432" i="6"/>
  <c r="R307" i="6"/>
  <c r="R337" i="6"/>
  <c r="R188" i="6"/>
  <c r="R371" i="6"/>
  <c r="R91" i="6"/>
  <c r="R391" i="6"/>
  <c r="R456" i="6"/>
  <c r="R211" i="6"/>
  <c r="R10" i="6"/>
  <c r="R127" i="6"/>
  <c r="R397" i="6"/>
  <c r="R519" i="6"/>
  <c r="R581" i="6"/>
  <c r="R303" i="6"/>
  <c r="R310" i="6"/>
  <c r="R290" i="6"/>
  <c r="R579" i="6"/>
  <c r="R383" i="6"/>
  <c r="R489" i="6"/>
  <c r="R532" i="6"/>
  <c r="R93" i="6"/>
  <c r="R281" i="6"/>
  <c r="R158" i="6"/>
  <c r="R600" i="6"/>
  <c r="R545" i="6"/>
  <c r="R209" i="6"/>
  <c r="R229" i="6"/>
  <c r="R200" i="6"/>
  <c r="R218" i="6"/>
  <c r="R355" i="6"/>
  <c r="R567" i="6"/>
  <c r="R512" i="6"/>
  <c r="R478" i="6"/>
  <c r="R8" i="6"/>
  <c r="R541" i="6"/>
  <c r="R250" i="6"/>
  <c r="R332" i="6"/>
  <c r="R606" i="6"/>
  <c r="R624" i="6"/>
  <c r="R7" i="6"/>
  <c r="R605" i="6"/>
  <c r="R560" i="6"/>
  <c r="R390" i="6"/>
  <c r="R56" i="6"/>
  <c r="R352" i="6"/>
  <c r="R55" i="6"/>
  <c r="R83" i="6"/>
  <c r="R387" i="6"/>
  <c r="R346" i="6"/>
  <c r="R176" i="6"/>
  <c r="R559" i="6"/>
  <c r="R150" i="6"/>
  <c r="R6" i="6"/>
  <c r="R349" i="6"/>
  <c r="R271" i="6"/>
  <c r="R171" i="6"/>
  <c r="R109" i="6"/>
  <c r="R88" i="6"/>
  <c r="R141" i="6"/>
  <c r="R35" i="6"/>
  <c r="R163" i="6"/>
  <c r="R602" i="6"/>
  <c r="R98" i="6"/>
  <c r="R365" i="6"/>
  <c r="R73" i="6"/>
  <c r="R223" i="6"/>
  <c r="R533" i="6"/>
  <c r="R528" i="6"/>
  <c r="R54" i="6"/>
  <c r="R502" i="6"/>
  <c r="R264" i="6"/>
  <c r="R585" i="6"/>
  <c r="R353" i="6"/>
  <c r="R548" i="6"/>
  <c r="R131" i="6"/>
  <c r="R194" i="6"/>
  <c r="R612" i="6"/>
  <c r="R363" i="6"/>
  <c r="R4" i="6"/>
  <c r="R128" i="6"/>
  <c r="R274" i="6"/>
  <c r="R320" i="6"/>
  <c r="R254" i="6"/>
  <c r="R186" i="6"/>
  <c r="R206" i="6"/>
  <c r="R395" i="6"/>
  <c r="R306" i="6"/>
  <c r="R145" i="6"/>
  <c r="R443" i="6"/>
  <c r="R94" i="6"/>
  <c r="R330" i="6"/>
  <c r="R613" i="6"/>
  <c r="R608" i="6"/>
  <c r="R220" i="6"/>
  <c r="R41" i="6"/>
  <c r="R598" i="6"/>
  <c r="R414" i="6"/>
  <c r="R116" i="6"/>
  <c r="R520" i="6"/>
  <c r="R149" i="6"/>
  <c r="R110" i="6"/>
  <c r="R44" i="6"/>
  <c r="R521" i="6"/>
  <c r="R71" i="6"/>
  <c r="R103" i="6"/>
  <c r="R262" i="6"/>
  <c r="R291" i="6"/>
  <c r="R142" i="6"/>
  <c r="R304" i="6"/>
  <c r="R105" i="6"/>
  <c r="R300" i="6"/>
  <c r="R29" i="6"/>
  <c r="R60" i="6"/>
  <c r="R622" i="6"/>
  <c r="R361" i="6"/>
  <c r="R165" i="6"/>
  <c r="R483" i="6"/>
  <c r="R53" i="6"/>
  <c r="R12" i="6"/>
  <c r="R169" i="6"/>
  <c r="R345" i="6"/>
  <c r="R535" i="6"/>
  <c r="R140" i="6"/>
  <c r="R335" i="6"/>
  <c r="R225" i="6"/>
  <c r="R506" i="6"/>
  <c r="R295" i="6"/>
  <c r="R419" i="6"/>
  <c r="R269" i="6"/>
  <c r="R313" i="6"/>
  <c r="R32" i="6"/>
  <c r="R412" i="6"/>
  <c r="R421" i="6"/>
  <c r="R498" i="6"/>
  <c r="R239" i="6"/>
  <c r="R341" i="6"/>
  <c r="R427" i="6"/>
  <c r="R402" i="6"/>
  <c r="R484" i="6"/>
  <c r="R112" i="6"/>
  <c r="R609" i="6"/>
  <c r="R228" i="6"/>
  <c r="R381" i="6"/>
  <c r="R603" i="6"/>
  <c r="R47" i="6"/>
  <c r="R523" i="6"/>
  <c r="R66" i="6"/>
  <c r="R444" i="6"/>
  <c r="R454" i="6"/>
  <c r="R572" i="6"/>
  <c r="R488" i="6"/>
  <c r="R476" i="6"/>
  <c r="R43" i="6"/>
  <c r="R143" i="6"/>
  <c r="R195" i="6"/>
  <c r="R536" i="6"/>
  <c r="R80" i="6"/>
  <c r="R58" i="6"/>
  <c r="R389" i="6"/>
  <c r="R359" i="6"/>
  <c r="R139" i="6"/>
  <c r="R561" i="6"/>
  <c r="R152" i="6"/>
  <c r="R260" i="6"/>
  <c r="R101" i="6"/>
  <c r="R480" i="6"/>
  <c r="R451" i="6"/>
  <c r="R86" i="6"/>
  <c r="R247" i="6"/>
  <c r="R318" i="6"/>
  <c r="R374" i="6"/>
  <c r="R183" i="6"/>
  <c r="R571" i="6"/>
  <c r="R366" i="6"/>
  <c r="R68" i="6"/>
  <c r="R96" i="6"/>
  <c r="R529" i="6"/>
  <c r="R321" i="6"/>
  <c r="R317" i="6"/>
  <c r="R134" i="6"/>
  <c r="R311" i="6"/>
  <c r="R119" i="6"/>
  <c r="R438" i="6"/>
  <c r="R28" i="6"/>
  <c r="R431" i="6"/>
  <c r="R33" i="6"/>
  <c r="R133" i="6"/>
  <c r="R203" i="6"/>
  <c r="R59" i="6"/>
  <c r="R316" i="6"/>
  <c r="R231" i="6"/>
  <c r="R370" i="6"/>
  <c r="R339" i="6"/>
  <c r="R255" i="6"/>
  <c r="R20" i="6"/>
  <c r="R340" i="6"/>
  <c r="R607" i="6"/>
  <c r="R593" i="6"/>
  <c r="R232" i="6"/>
  <c r="R433" i="6"/>
  <c r="R121" i="6"/>
  <c r="R177" i="6"/>
  <c r="R553" i="6"/>
  <c r="R596" i="6"/>
  <c r="R495" i="6"/>
  <c r="R64" i="6"/>
  <c r="R237" i="6"/>
  <c r="R178" i="6"/>
  <c r="R189" i="6"/>
  <c r="R40" i="6"/>
  <c r="R187" i="6"/>
  <c r="R5" i="6"/>
  <c r="R382" i="6"/>
  <c r="R57" i="6"/>
  <c r="R482" i="6"/>
  <c r="R207" i="6"/>
  <c r="R81" i="6"/>
  <c r="R474" i="6"/>
  <c r="R326" i="6"/>
  <c r="R173" i="6"/>
  <c r="R120" i="6"/>
  <c r="R441" i="6"/>
  <c r="R344" i="6"/>
  <c r="R146" i="6"/>
  <c r="R199" i="6"/>
  <c r="R270" i="6"/>
  <c r="R351" i="6"/>
  <c r="R191" i="6"/>
  <c r="R170" i="6"/>
  <c r="R248" i="6"/>
  <c r="R556" i="6"/>
  <c r="R424" i="6"/>
  <c r="R554" i="6"/>
  <c r="R241" i="6"/>
  <c r="R565" i="6"/>
  <c r="R422" i="6"/>
  <c r="R148" i="6"/>
  <c r="R513" i="6"/>
  <c r="R375" i="6"/>
  <c r="R531" i="6"/>
  <c r="R587" i="6"/>
  <c r="R50" i="6"/>
  <c r="R87" i="6"/>
  <c r="R557" i="6"/>
  <c r="R39" i="6"/>
  <c r="R464" i="6"/>
  <c r="R243" i="6"/>
  <c r="R500" i="6"/>
  <c r="R542" i="6"/>
  <c r="R583" i="6"/>
  <c r="R95" i="6"/>
  <c r="R249" i="6"/>
  <c r="R224" i="6"/>
  <c r="R130" i="6"/>
  <c r="R437" i="6"/>
  <c r="R196" i="6"/>
  <c r="R242" i="6"/>
  <c r="R338" i="6"/>
  <c r="R448" i="6"/>
  <c r="R595" i="6"/>
  <c r="R267" i="6"/>
  <c r="R244" i="6"/>
  <c r="R544" i="6"/>
  <c r="R297" i="6"/>
  <c r="R184" i="6"/>
  <c r="R594" i="6"/>
  <c r="R549" i="6"/>
  <c r="R38" i="6"/>
  <c r="R418" i="6"/>
  <c r="R108" i="6"/>
  <c r="R516" i="6"/>
  <c r="R235" i="6"/>
  <c r="R137" i="6"/>
  <c r="R299" i="6"/>
  <c r="R278" i="6"/>
  <c r="R445" i="6"/>
  <c r="R328" i="6"/>
  <c r="R615" i="6"/>
  <c r="R620" i="6"/>
  <c r="R534" i="6"/>
  <c r="R157" i="6"/>
  <c r="R204" i="6"/>
  <c r="R619" i="6"/>
  <c r="R377" i="6"/>
  <c r="R416" i="6"/>
  <c r="R102" i="6"/>
  <c r="R298" i="6"/>
  <c r="R75" i="6"/>
  <c r="R550" i="6"/>
  <c r="R558" i="6"/>
  <c r="R135" i="6"/>
  <c r="R372" i="6"/>
  <c r="R510" i="6"/>
  <c r="R470" i="6"/>
  <c r="R518" i="6"/>
  <c r="R459" i="6"/>
  <c r="R334" i="6"/>
  <c r="R27" i="6"/>
  <c r="R530" i="6"/>
  <c r="R181" i="6"/>
  <c r="R210" i="6"/>
  <c r="R527" i="6"/>
  <c r="R574" i="6"/>
  <c r="R350" i="6"/>
  <c r="R15" i="6"/>
  <c r="R192" i="6"/>
  <c r="R504" i="6"/>
  <c r="R201" i="6"/>
  <c r="R89" i="6"/>
  <c r="R245" i="6"/>
  <c r="R292" i="6"/>
  <c r="R503" i="6"/>
  <c r="R517" i="6"/>
  <c r="R354" i="6"/>
  <c r="R162" i="6"/>
  <c r="R537" i="6"/>
  <c r="R285" i="6"/>
  <c r="R342" i="6"/>
  <c r="R144" i="6"/>
  <c r="R288" i="6"/>
  <c r="R407" i="6"/>
  <c r="R393" i="6"/>
  <c r="R266" i="6"/>
  <c r="R217" i="6"/>
  <c r="R11" i="6"/>
  <c r="R151" i="6"/>
  <c r="R327" i="6"/>
  <c r="R276" i="6"/>
  <c r="R591" i="6"/>
  <c r="R67" i="6"/>
  <c r="R423" i="6"/>
  <c r="R197" i="6"/>
  <c r="R45" i="6"/>
  <c r="R30" i="6"/>
  <c r="R198" i="6"/>
  <c r="R511" i="6"/>
  <c r="R466" i="6"/>
  <c r="R273" i="6"/>
  <c r="R420" i="6"/>
  <c r="R514" i="6"/>
  <c r="R408" i="6"/>
  <c r="R385" i="6"/>
  <c r="R348" i="6"/>
  <c r="R452" i="6"/>
  <c r="R570" i="6"/>
  <c r="R265" i="6"/>
  <c r="R256" i="6"/>
  <c r="R486" i="6"/>
  <c r="R411" i="6"/>
  <c r="R358" i="6"/>
  <c r="R430" i="6"/>
  <c r="R79" i="6"/>
  <c r="R499" i="6"/>
  <c r="R215" i="6"/>
  <c r="R373" i="6"/>
  <c r="R450" i="6"/>
  <c r="R3" i="6"/>
  <c r="R161" i="6"/>
  <c r="R293" i="6"/>
  <c r="R405" i="6"/>
  <c r="R129" i="6"/>
  <c r="R475" i="6"/>
  <c r="R77" i="6"/>
  <c r="R347" i="6"/>
  <c r="R97" i="6"/>
  <c r="R485" i="6"/>
  <c r="R497" i="6"/>
  <c r="R18" i="6"/>
  <c r="R259" i="6"/>
  <c r="R465" i="6"/>
  <c r="R406" i="6"/>
  <c r="R508" i="6"/>
  <c r="R246" i="6"/>
  <c r="R329" i="6"/>
  <c r="R205" i="6"/>
  <c r="R233" i="6"/>
  <c r="R463" i="6"/>
  <c r="R546" i="6"/>
  <c r="R154" i="6"/>
  <c r="R22" i="6"/>
  <c r="R552" i="6"/>
  <c r="AA5" i="4"/>
  <c r="Y2" i="4"/>
  <c r="AA7" i="4"/>
  <c r="AA10" i="4"/>
  <c r="AB5" i="4"/>
  <c r="AA8" i="4"/>
  <c r="AA6" i="4"/>
  <c r="Y3" i="4"/>
  <c r="Y4" i="4"/>
</calcChain>
</file>

<file path=xl/sharedStrings.xml><?xml version="1.0" encoding="utf-8"?>
<sst xmlns="http://schemas.openxmlformats.org/spreadsheetml/2006/main" count="1532" uniqueCount="640">
  <si>
    <t>Metric</t>
  </si>
  <si>
    <t>Metric Type</t>
  </si>
  <si>
    <t>Configuration Required</t>
  </si>
  <si>
    <t>Validation Status</t>
  </si>
  <si>
    <t>Comments</t>
  </si>
  <si>
    <t>Flowsheet</t>
  </si>
  <si>
    <t>Yes</t>
  </si>
  <si>
    <t>No</t>
  </si>
  <si>
    <t>AQI</t>
  </si>
  <si>
    <t>DM AN Checklist Used</t>
  </si>
  <si>
    <t>Event</t>
  </si>
  <si>
    <t>DM AN Episode ID</t>
  </si>
  <si>
    <t>DM AN Record Date</t>
  </si>
  <si>
    <t>Date</t>
  </si>
  <si>
    <t>DM AN Responsible Provider</t>
  </si>
  <si>
    <t>DM AN Department</t>
  </si>
  <si>
    <t>DM AN Revenue Location</t>
  </si>
  <si>
    <t>DM AN Service Area</t>
  </si>
  <si>
    <t>DM AN Anesthesia Start Instant</t>
  </si>
  <si>
    <t>Facility</t>
  </si>
  <si>
    <t>Provider</t>
  </si>
  <si>
    <t>DM AN Anesthesia Stop Instant</t>
  </si>
  <si>
    <t>DM AN Induction Instant</t>
  </si>
  <si>
    <t>DM AN Emergence Instant</t>
  </si>
  <si>
    <t>DM AN In Room Instant</t>
  </si>
  <si>
    <t>DM AN Patient Language</t>
  </si>
  <si>
    <t>Patient</t>
  </si>
  <si>
    <t>DM AN Out of OR Instant</t>
  </si>
  <si>
    <t>DM An Out of PACU Instant</t>
  </si>
  <si>
    <t>DM AN Patient Taking Narcotics</t>
  </si>
  <si>
    <t>DM AN Out of Phase II Instant</t>
  </si>
  <si>
    <t>Medication</t>
  </si>
  <si>
    <t>Plug in grouper for narcotics</t>
  </si>
  <si>
    <t>DM AN Central Line Placed</t>
  </si>
  <si>
    <t>Procedure/LDA</t>
  </si>
  <si>
    <t>Add in the EAP or LDA indicating central line</t>
  </si>
  <si>
    <t>DM AN Chronic Pain</t>
  </si>
  <si>
    <t>Add grouper for Chronic Pain</t>
  </si>
  <si>
    <t>DM AN Arterial Injury</t>
  </si>
  <si>
    <t>Complication</t>
  </si>
  <si>
    <t>History</t>
  </si>
  <si>
    <t>Add in Smart Data Element or Event indicating arterial injury.</t>
  </si>
  <si>
    <t>DM AN Psychiatric Disorder</t>
  </si>
  <si>
    <t>Add in grouper indicating Psychiatric Disorder or Note Smart Data Element indicating psychiatric Disorder</t>
  </si>
  <si>
    <t>DM AN First PACU PAIN Score</t>
  </si>
  <si>
    <t>Will need to indicate Pain flowsheet row</t>
  </si>
  <si>
    <t>DM AN Highest Pain Score</t>
  </si>
  <si>
    <t>DM AN Cardiac Arrest</t>
  </si>
  <si>
    <t>Add in Smart Data Element or Event indicating Cardiac Arrest</t>
  </si>
  <si>
    <t>Add in Smart Data Element or Event indicating Deep Hypothermia</t>
  </si>
  <si>
    <t>DM AN Deep Hypothermia</t>
  </si>
  <si>
    <t>DM AN Cardiac Bypass</t>
  </si>
  <si>
    <t>Add in Smart Data Element or Event indicating Cardiac Bypass</t>
  </si>
  <si>
    <t>DM AN Date of Death</t>
  </si>
  <si>
    <t>DM AN Time of Death</t>
  </si>
  <si>
    <t>DM AN Anesthesia Complications</t>
  </si>
  <si>
    <t>Add in Smart Data Element or Event indicating Anesthesia Complications</t>
  </si>
  <si>
    <t>DM AN Professional Billing Charges</t>
  </si>
  <si>
    <t>DM AN Billed Procedure CPT Code</t>
  </si>
  <si>
    <t>Billing</t>
  </si>
  <si>
    <t>DM AN Reintubation</t>
  </si>
  <si>
    <t>Indicate the EAP or LDA considered an airway</t>
  </si>
  <si>
    <t>DM AN Transfer to ICU</t>
  </si>
  <si>
    <t>Transfer</t>
  </si>
  <si>
    <t>Indicate event indicating patient transferred to ICU</t>
  </si>
  <si>
    <t>DM AN Intubated for Procedure</t>
  </si>
  <si>
    <t>Intubation</t>
  </si>
  <si>
    <t>DM AN Billed Procedure ASA Code</t>
  </si>
  <si>
    <t xml:space="preserve">This rule returns the CPT code of the anesthesia procedure that was billed. If there are multiple billed procedures, they are returned as a semicolon-delimited list. All configuration is optional. </t>
  </si>
  <si>
    <t>ID</t>
  </si>
  <si>
    <t>Information</t>
  </si>
  <si>
    <t>This rule returns a semicolon-delimited list of professional billing charges for the anesthesia encounter. Modifiers are included. All configuration is optional.
Property configuration:
1 - Show CPT codes and Display modifiers should both be set to Yes.</t>
  </si>
  <si>
    <t xml:space="preserve">This rule returns 1 if there were any anesthesia complications documented, or null if there were not. Some configuration is required. It can search both notes and events. To search only notes, configure property 1. To search only events, configure property 2. </t>
  </si>
  <si>
    <t>This rule returns the patient's time of death. There is no configuration required.</t>
  </si>
  <si>
    <t xml:space="preserve">This rule returns the patient's date of death. There is no configuration required. </t>
  </si>
  <si>
    <t xml:space="preserve">This rule returns 1 if cardiac bypass was documented, or null if it was not. Some configuration is required. It can search both notes and events. To search only notes, configure property 1. To search only events, configure property 2. </t>
  </si>
  <si>
    <t xml:space="preserve">This rule returns 1 if deep hypothermia was documented, or null if it was not. Some configuration is required. It can search both notes and events. To search only notes, configure property 1. To search only events, configure property 2. </t>
  </si>
  <si>
    <t xml:space="preserve">This rule returns 1 if cardiac arrest was documented, or null if it was not. Some configuration is required. It can search both notes and events. To search only notes, configure property 1. To search only events, configure property 2. </t>
  </si>
  <si>
    <t>This rule returns the highest pain score recorded in the PACU. Note that if reporting for ASA measure #14, a 0-10 pain scale should be used. Some configuration is required.</t>
  </si>
  <si>
    <t>This rule returns the first pain score recorded in the PACU. Note that if reporting for ASA measure #14, a 0-10 pain scale should be used. Some configuration is required.
Property configuration:
1 - The Flowsheet Rows parameter should be configured with the flowsheet row(s) in which pain score is documented. Optionally, change the Start Event, End Event, Lookback Hours, and Lookahead Hours to adjust the time range the patient is considered to be in the PACU. The Mode parameter should be set to First.</t>
  </si>
  <si>
    <t>This rule returns 1 if the patient has a major psychiatric disorder, or null if they do not. The rule can search any or all of three places for this documentation: the patient's problem list, the patient's medical history, and the anesthesia pre-procedure evaluation. Some configuration is required. To search the patient's problem list, configure property 1. To search the patient's medical history, configure property 2. To search the anesthesia note SmartData element values, configure properties 3 and 4.
Property configuration:
1 - Specify a grouper containing qualifying diagnoses to search the patient's problem list.
2 - Specify the diagnosis grouper to search the patient's medical history.
3 - Specify the SmartData element in which psychiatric history is documented in the anesthesia note. EPIC#HPI0298 is the default. Specify the note type, the operator and values to check against that indicate psychiatric history was documented for the patient.
4 - This property should be configured similarly to property 3, but configured such that the SmartData Element value indicates the patient does not have a psychiatric history.</t>
  </si>
  <si>
    <t>This rule returns 1 if an arterial injury was documented, or null if one was not. Some configuration is required. It can search procedure notes, other types of notes, and events. To search only procedure notes, configure property 1. To search only another type of note, configure property 2. To search only events, configure property 3. 
Property configuration:
1 - Select which note type to search for the anesthesia procedure note; the default is 28 (Anesthesia Procedure Note). SDE should be configured with the SDE corresponding to arterial injury and EAP Grouper ID and Procedure IDs should be configured with procedures that should be checked.
2 - If you document injury in another kind of note, specify that note type here, along with the appropriate SmartData Element, operator, and value.
3 - Configure Event Template (LEV ID) with the event that corresponds to arterial injury. First or Last Documented does not require configuration.</t>
  </si>
  <si>
    <t>This rule returns 1 if the patient experiences chronic pain, or null if they do not. Some configuration is required. It can search both the patient's problem list and medical history. To search only the patient's problem list, configure property 1. To search only the patient's medical history, configure property 2.
Property configuration:
1 - Specify a diagnosis (EDG) grouper containing diagnosis records considered chronic pain in the Diagnosis Grouper parameter here. Optionally, set the As Of Event parameter so only problems documented as of a certain time in the case will be searched. Problem Status and Problem Class parameters do not require configuration.
2 - Specify a diagnosis (EDG) grouper containing diagnosis records considered chronic pain in the Diagnosis Grouper parameter. Optionally, set the As Of Event parameter so only problems documented as of a certain time in the case will be searched.</t>
  </si>
  <si>
    <t>This rule returns 1 if a central line was placed on a patient, or null if one was not. Some configuration is required. It can search both procedure notes and LDAs. To search only procedure notes, configure property 1. To search only LDAs, configure property 2.</t>
  </si>
  <si>
    <t>This rule returns 1 if the patient was taking narcotics prior to the procedure, or null if they were not. Both inpatient medications with administrations and outpatient medications are included. Some configuration is required.</t>
  </si>
  <si>
    <t>This rule returns the documented instant the patient left Phase II. There is no configuration required.</t>
  </si>
  <si>
    <t>This rule returns the documented instant the patient left the PACU. There is no configuration required.</t>
  </si>
  <si>
    <t>This rule returns the documented instant the patient left the OR. There is no configuration required.</t>
  </si>
  <si>
    <t>This rule returns the patient's spoken language. There is no configuration required.</t>
  </si>
  <si>
    <t>This rule returns the documented instant the patient entered the OR. There is no configuration required.</t>
  </si>
  <si>
    <t>This rule returns the documented instant of emergence. There is no configuration required.</t>
  </si>
  <si>
    <t>This rule returns the documented instant of induction. There is no configuration required.</t>
  </si>
  <si>
    <t>This rule returns the documented instant of anesthesia stop. There is no configuration required.</t>
  </si>
  <si>
    <t>This rule returns the documented instant of anesthesia start. There is no configuration required.</t>
  </si>
  <si>
    <t>This rule returns the service area in which the anesthesia procedure was performed. There is no configuration required.</t>
  </si>
  <si>
    <t>This rule returns the revenue location in which the anesthesia procedure was performed. There is no configuration required.</t>
  </si>
  <si>
    <t>This rule returns the department in which the anesthesia procedure was performed. There is no configuration required.</t>
  </si>
  <si>
    <t>This rule returns the responsible provider for the anesthesia record. There is no configuration required.</t>
  </si>
  <si>
    <t>This rule returns the anesthesia record date. There is no configuration required.</t>
  </si>
  <si>
    <t>This rule returns the anesthesia episode ID. There is no configuration required.</t>
  </si>
  <si>
    <t xml:space="preserve">This rule returns 1 if a checklist was used to facilitate care handoff following a procedure, or null if it was not. Some configuration is required. It will search both SmartData Elements and events. To search only SmartData Elements, configure property 1, or to search only events, configure property 2. 
</t>
  </si>
  <si>
    <t>Configured in Foundation As</t>
  </si>
  <si>
    <t>DM AN All Anesthesia Staff</t>
  </si>
  <si>
    <t>DM AN Diagnosis List ICD 10</t>
  </si>
  <si>
    <t>DM AN Previous Intubation</t>
  </si>
  <si>
    <t>DM AN Patient Age at Encounter</t>
  </si>
  <si>
    <t>DM AN Patient State of Residence</t>
  </si>
  <si>
    <t>DM AN Patient City of Residence</t>
  </si>
  <si>
    <t>DM AN ASA Score</t>
  </si>
  <si>
    <t>DM AN Emergent Status</t>
  </si>
  <si>
    <t>DM AN Diagnosis List ICD 9</t>
  </si>
  <si>
    <t>DM AN Inhalation of General Anesthetics</t>
  </si>
  <si>
    <t>DM AN History of PONV or Motion Sickness</t>
  </si>
  <si>
    <t>DM AN Primary Log Procedure Length</t>
  </si>
  <si>
    <t>DM AN Medical Reason for Not Administering Pharmocologic Prophylaxis</t>
  </si>
  <si>
    <t>DM AN Patient Smoking Status</t>
  </si>
  <si>
    <t>DM AN Documented Prophylactic Pharmacologic Antiemetic 5-Hydroxytryptamine</t>
  </si>
  <si>
    <t>DM AN Documented Prophylactic Pharmacologic Antiemetic Steriods</t>
  </si>
  <si>
    <t>DM AN Prohpylactic Pharmacologic Antiemetic Phenothiazines</t>
  </si>
  <si>
    <t>DM AN Prophylactic Pharmacologic Antiemetic Phenylethylamine</t>
  </si>
  <si>
    <t>DM AN Prophylactic Pharmacologic Antiemetic Butyrophenones</t>
  </si>
  <si>
    <t>DM AN Prophylactic Pharmacologic Antiemetic Antihistamine</t>
  </si>
  <si>
    <t>DM AN Prophylactic Pharmacologic Antiemetic Anticholinergic</t>
  </si>
  <si>
    <t>DM AN Intended Opioid Administration During Intraprocedure or Post Procedure Care</t>
  </si>
  <si>
    <t>DM AN Family History of PONV in Parents or Siblings</t>
  </si>
  <si>
    <t>DM AN Anesthesia Type</t>
  </si>
  <si>
    <t>DM AN Procedure Start Instant</t>
  </si>
  <si>
    <t>DM AN Procedure End Instant</t>
  </si>
  <si>
    <t>DM AN Operating Room</t>
  </si>
  <si>
    <t>DM AN Paitent in PACU Instant</t>
  </si>
  <si>
    <t>DM AN Patient in Phase II Instant</t>
  </si>
  <si>
    <t>DM AN Billed Anesthesia Type</t>
  </si>
  <si>
    <t>DM AN Primary Payer Financial Class</t>
  </si>
  <si>
    <t>DM AN Beta Blocker 24 Hours Prior to Incision</t>
  </si>
  <si>
    <t>DM AN Beta Blocker Not Given For Medical Reasons</t>
  </si>
  <si>
    <t>DM AN Highest Temperature Near Anesthesia End</t>
  </si>
  <si>
    <t>DM AN Peripheral Nerve Block</t>
  </si>
  <si>
    <t>DM AN Intentional Hypothermia</t>
  </si>
  <si>
    <t xml:space="preserve">DM AN Medication List Reviewed </t>
  </si>
  <si>
    <t>DM AN Registry Reason Medication List not Reviewed</t>
  </si>
  <si>
    <t>DM AN Billed ASA Score</t>
  </si>
  <si>
    <t>DM AN Billed Emergent Status</t>
  </si>
  <si>
    <t>DM AN Inhalation of General Anesthetics Maintenance Only</t>
  </si>
  <si>
    <t>DM AN Motion Sickness</t>
  </si>
  <si>
    <t xml:space="preserve">This rule returns 1 if the patient was reintubated between the Procedure Start case timing event and the Out of Recovery case timing event, or 0 if they were not. Some configuration is required. </t>
  </si>
  <si>
    <t xml:space="preserve">This rule returns 1 if there is a documented ICU admission on the anesthesia encounter after the patient leaves the OR, or 0 if there was not. If the OpTime case timing event mapping is not set-up for the Out of Room event or the mapped case tracking event is not documented, this rule will return null. Some configuration is required. </t>
  </si>
  <si>
    <t xml:space="preserve">This rule returns 1 if the patient was intubated for their procedure, meaning they were intubated between Anesthesia Start and Anesthesia End, or 0 if they were not. Some configuration is required. </t>
  </si>
  <si>
    <t>This rule returns the ASA crosswalk CPT code for the anesthesia procedure that was billed. If there are multiple ASA codes, they are returned as a semicolon-delimited list. There is no configuration required.</t>
  </si>
  <si>
    <t>This rule returns a semicolon-delimited list of all anesthesia staff documented on the anesthesia record. There is no configuration required.</t>
  </si>
  <si>
    <t>This rule returns a semicolon-delimited list of patient diagnoses in the ICD-10 term set with ranks appended after a hyphen. All configuration is optional.
Property Configuration:
1 - Change the code to a different ICD-10 code set if not using ICD-10-CM. Include diagnosis rank should be Yes.</t>
  </si>
  <si>
    <t>This rule returns 1 if the patient was previously intubated (not specifically for the procedure), or 0 if they were not. Some configuration is required. 
Property configuration: 
1 and 2 - Configure the Airway Types parameter with the category numbers for LDA types that should be considered airways, configure the Lookback Hours parameter with the number of hours to look prior to Anesthesia Start to see whether an airway was present (default is 1), and the Buffer Minutes parameter with a number of minutes prior to Anesthesia Start where the presence of an airway should NOT be considered a previous intubation. The buffer minutes are intended to be used in conjunction with the Buffer Minutes parameter in CER 89044 - AN REGISTRY INTUBATED FOR PROCEDURE (i.e. If the buffer for an airway to be considered an intubation for the procedure is 10 minutes, the buffer parameter here should be 10 minutes so the same airway isn't considered both a previous intubation and an intubation for the procedure). The default for this parameter is 0.</t>
  </si>
  <si>
    <t>This rule returns the patient's age at the time of the encounter. No configuration is required.</t>
  </si>
  <si>
    <t>This rule returns the patient's state of residence. No configuration is required.</t>
  </si>
  <si>
    <t>This rule returns the patient's city of residence. No configuration is required.</t>
  </si>
  <si>
    <t xml:space="preserve">This rule returns a patient's ASA score (aka physical status). The ASA score SmartData element is specified in I LSD 89210. Encounter documentation is searched first. If ASA score documentation is not found there, then notes of the specified type are searched. All configuration is optional.
</t>
  </si>
  <si>
    <t xml:space="preserve">This rule returns 1 if the procedure was emergent, or 0 if it was not. The emergent status SmartData element is specified in I LSD 89215. Encounter documentation is searched first. If emergent status documentation is not found there, then notes of the specified type are searched. All configuration is optional.
</t>
  </si>
  <si>
    <t>This rule returns a semicolon-delimited list of patient diagnoses in the ICD-9 term set with ranks appended after a hyphen. All configuration is optional.
Properties:
1 - Change the code to a different ICD-9 code set if not using ICD-9-CM. Include diagnosis rank should be set to Yes.</t>
  </si>
  <si>
    <t>This rule returns 1 if an inhalational anesthetic gas was used, or null if one was not. Some configuration is required.
Property configuration: 
1 - Flowsheet rows should be set to whichever flowsheet rows are used for documenting inhalational anesthetic gases. Start and End events should be configured with whichever events mark the start and end of surgery or anesthesia. The defaults are Anesthesia Start and Anesthesia Stop, as these events generally signify the range of an anesthetic. Lookback Hours and Lookahead Hours can optionally be set to look a number of hours before the start event, or after the end event. Mode should be set to 3 (Highest) in order to evaluate ASA metrics 7 and 8 correctly.</t>
  </si>
  <si>
    <t>This rule returns 1 if a patient has a history of PONV or null if they do not. Some configuration is required. 
Property configuration:
1 - Select the diagnosis grouper that corresponds to PONV, and configure As Of Event with the start event used in all surgical cases.
2 - Select the diagnosis grouper that corresponds to PONV. Problem status should be set to Active, because resolved problems will be handled by property 1. Problem Class can be optionally configured to filter problems by class. As Of Event does not require configuration.</t>
  </si>
  <si>
    <t xml:space="preserve">This rule returns the length of time (in minutes) of an anesthesia episode's primary procedure. Events may require configuration if your organization does not consistently use In Room and Out of Room.
</t>
  </si>
  <si>
    <t xml:space="preserve">This rule returns 1 if there was a medical reason for not administering pharmocologic prophylaxis, or null if there was not. Some configuration is required. It can search SmartData Elements, anesthesia events, and flowsheet rows. To search SDEs, configure property 1. To search events, configure property 2. To search flowsheet rows, configure property 3. 
Property configuration: 
1 - Select the SmartData Element which indicates a medical reason for not administering pharmocologic prophylaxis, and the type of note in which to search for this SDE. An operator and SmartData Element value must also be specified.
2 - Specify the event used to document a medical exclusion, if one exists. The First or Last Documented parameter does not require configuration. 
3 -  Specify the flowsheet row which indicates a medical reason for not administering pharmocologic prophylaxis. Start and End events should be populated with the events that signify the start and end of the procedure, and which will be documented for every procedure. Lookback and Lookahead Hours can be configured to allow for searching a number of hours before or after the Start/End events. Operator and Value must also be specified for the given flowsheet rows. </t>
  </si>
  <si>
    <t xml:space="preserve">This rule returns 1 if the patient is a smoker, or 0 if they are not. Some configuration is required. 
Property configuration: 
1 - Social History Type should be configured with Tobacco. As of Event can optionally be used to search history only up to a certain event. If left blank (default), the most recent social history is used. </t>
  </si>
  <si>
    <t xml:space="preserve">This rule returns 1 if the patient received an administration of 5-Hydroxytryptamine during preprocedure or intraprocedure care, or null if they did not. Some configuration is required. 
Property configuration: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5-Hydroxytryptamine. Lookback and Lookahead Hours can optionally be configured to extend the search prior to the Start Event, or past the End Event. </t>
  </si>
  <si>
    <t xml:space="preserve">This rule returns 1 if the patient received an administration of antiemetic steroids during preprocedure or intraprocedure care, or null if they did not. Some configuration is required. 
Property configuration: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antiemetic steroids. Lookback and Lookahead Hours can optionally be configured to extend the search prior to the Start Event, or past the End Event. </t>
  </si>
  <si>
    <t xml:space="preserve">This rule returns 1 if the patient received an administration of antiemetic phenothiazines during preprocedure or intraprocedure care, or null if they did not. Some configuration is required. 
Property configuration: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phenothiazines. Lookback and Lookahead Hours can optionally be configured to extend the search prior to the Start Event, or past the End Event. </t>
  </si>
  <si>
    <t xml:space="preserve">This rule returns 1 if the patient received an administration of antiemetic phenylethylamine during preprocedure or intraprocedure care, or null if they did not. Some configuration is required. 
Property configuration: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phenylethylamine. Lookback and Lookahead Hours can optionally be configured to extend the search prior to the Start Event, or past the End Event. </t>
  </si>
  <si>
    <t xml:space="preserve">This rule returns 1 if the patient received an administration of antiemetic butyrophenones during preprocedure or intraprocedure care, or null if they did not. Some configuration is required. 
Property configuration: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butyrophenones. Lookback and Lookahead Hours can optionally be configured to extend the search prior to the Start Event, or past the End Event. </t>
  </si>
  <si>
    <t xml:space="preserve">This rule returns 1 if the patient received an administration of antiemetic antihistamines during preprocedure or intraprocedure care, or null if they did not. Some configuration is required. 
Property configuration: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antiemetic antihistamines. Lookback and Lookahead Hours can optionally be configured to extend the search prior to the Start Event, or past the End Event. </t>
  </si>
  <si>
    <t xml:space="preserve">This rule returns 1 if the patient received an administration of antiemetic anticholinergics during preprocedure or intraprocedure care, or null if they did not. Some configuration is required. 
Property configuration: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antiemetic anticholinergics. Lookback and Lookahead Hours can optionally be configured to extend the search prior to the Start Event, or past the End Event. </t>
  </si>
  <si>
    <t xml:space="preserve">This rule returns 1 if there was an intended administration of opioids during intraprocedure or postprocedure care, or null if there was not. Some configuration is required. It can search SmartData Elements, anesthesia events, and flowsheet rows. To search SDEs, configure property 1. To search events, configure property 2. To search flowsheet rows, configure property 3. 
Property configuration: 
1 - Select the SmartData Element which indicates intended administration of opioids, and the type of note in which to search for this SDE. An operator and SmartData Element value must also be specified.
2 - Specify the event used to document administration of opioids, if one exists. The First of Last Documented parameter does not require configuration. 
3 -  Specify the flowsheet row which indicates administration of opioids. Start and End events should be populated with the events that signify the start and end of the procedure, and which will be documented for every procedure. Lookback and Lookahead Hours can be configured to allow for searching a number of hours before or after the Start/End events. Operator and Value must also be specified for the given flowsheet rows. </t>
  </si>
  <si>
    <t>This rule returns 1 if the patient has a family history of PONV, or null if they don't. Some configuration is required.
Property configuration: 
1 - Select family members' histories to be searched (default is Brother, Father, Mother, and Sister). The family history should be set to PONV or an equally valid value in category list EPT-19360. This rule will look to the most recent history contact prior to the provided Case Timing Event instant. If no Case Timing Event is set, we will use the most recent family history regardless of the contact.</t>
  </si>
  <si>
    <t>This rule returns the anesthesia type documented on the anesthesia record. If there are multiple documented types, they are returned as a semicolon-delimited list. The anesthesia type SmartData element is specified in I LSD 89220. Encounter documentation is searched first. If anesthesia type documentation is not found there, then notes of the specified type are searched. All configuration is optional.
Property configuration:
1 - Select which note type to search for the anesthesia type. The default is 24  (Anesthesia Pre-procedure Note).</t>
  </si>
  <si>
    <t>This rule returns the documented instant of procedure start. There is no configuration required.</t>
  </si>
  <si>
    <t>This rule returns the documented instant of procedure end. There is no configuration required.</t>
  </si>
  <si>
    <t>This rule returns the SER ID of the operating room in which the primary procedure was performed. There is no configuration required.</t>
  </si>
  <si>
    <t>This rule returns the documented instant the patient entered the PACU. There is no configuration required.</t>
  </si>
  <si>
    <t>This rule returns the documented instant the patient entered Phase II. There is no configuration required.</t>
  </si>
  <si>
    <t>This rule returns the billed anesthesia type as mapped in I LSD 89230. If there are multiple types, they are returned as a semicolon-delimited list. There is no configuration required.</t>
  </si>
  <si>
    <t>This rule returns the financial class of the patient's primary payer for the encounter. There is no configuration required.</t>
  </si>
  <si>
    <t xml:space="preserve">This rule returns 1 if a beta blocker was administered within 24 hours prior to incision, or null if one was not. Some configuration is required. 
Property configuration: 
1 - Specify a medication grouper containing beta blockers, and the event which signifies the incision time for a procedure if different from the default of Procedure Start. </t>
  </si>
  <si>
    <t xml:space="preserve">This rule returns 1 if there was a medical reason for not giving a beta blocker 24 hours prior to incision, or null if there was not. Some configuration is required. It can search SmartData Elements, events and flowsheet rows. To search SDEs, configure property 1, to search events, configure property 2, or to search flowsheet documentation, configure property 3.
Property configuration: 
1 - Specify the SDE and note type in which this will be documented, if different than the defaults of SDE EPIC#3143, and note type 24 (Anesthesia preprocedure evaluation).  
2 - Specify the event which corresponds to the medical exclusion, if one exists. First or Last Documented does not need to be configured.
3 - Specify the flowsheet row and value in which a medical exclusion will be documented. Start and End Events must be configured with events which will determine the time frame in which to search for that flowsheet row value if different from the defaults of Anesthesia Start and Anesthesia Stop. Lookback and Lookahead Hours can optionally be configured to extend that time frame prior to the Start Event or past the End Event. </t>
  </si>
  <si>
    <t>This rule returns the highest temperature that occurred between 30 minutes before and 15 minutes after anesthesia end. Some configuration is required. 
Property configuration: 
1 - Specify the flowsheet rows that are used for documenting patient temperature, and enter the event corresponding to anesthesia end in both the Start Event and End Event parameters if different from the default of Anesthesia Stop.</t>
  </si>
  <si>
    <t>This rule returns 1 if a peripheral nerve block was done on a patient, or null if one was not. Some configuration is required. It can search both procedure notes and LDAs. To search procedure notes, configure property 1, or to search LDAs, configure property 2.
Property configuration:
1 - Specify the EAP Grouper and Procedure IDs for procedures that should be considered peripheral nerve blocks, along with the note type in which these will be documented (default is 28-Anesthesia Procedure Note).
2 - Specify the LDA types that should be considered peripheral nerve blocks.</t>
  </si>
  <si>
    <t xml:space="preserve">This rule returns 1 if intentional hypothermia was documented on a patient's anesthesia encounter, or null if it was not. It can search flowsheet rows, SmartData Elements, or anesthesia events. Some configuration is required. To search SDEs, configure property 1. To search events, configure property 2. To search flowsheet documentation, configure property 3.
Property configuration: 
1 - Specify the SDE and note type in which this will be documented. The defaults are SDE EPIC#7870 and note type 24 (Anesthesia preprocedure evaluation).  
2 - Specify the event which corresponds to intentional hypothermia, if one exists. First or Last Documented does not need to be configured.
3 - Specify the flowsheet row and value which correspond to intentional hypothermia. Start and End Events must be configured with events which will determine the time frame in which to search for that flowsheet row value if different from the defaults of Anesthesia Start and Anesthesia Stop. Lookback and Lookahead Hours can optionally be configured to extend that time frame prior to the Start Event or past the End Event. </t>
  </si>
  <si>
    <t>This rule returns 1 if the PTA medications were marked as reviewed, or null if they were not. It can search the med rec navigator section and SmartData Elements. Some configuration is required. To search the med rec navigator section, configure property 1, or to search SDEs, configure property 2. 
Property configuration:
1 - Med List Status should be configured with the reconciliation status category value(s) from I IEV 1500 that should be considered proof of medications having been reviewed.
2 - Specify the SDE and value that corresponds to med rec (defaults are EPIC#15775 and 1), as well as the note type in which to check for that SDE (default is 24 - Anesthesia preprocedure evaluation).</t>
  </si>
  <si>
    <t xml:space="preserve">This rule returns 1 if there is documentation stating the current medication list was not reviewed due to an exclusion, or null if there is not. Some configuration is required. 
Property configuration:
1 - Specify the SmartData Element and value which correspond to an exclusion to reviewing the medication list (defaults are EPIC#38969 and 1), along with the note type in which to check for that SDE (default is 24 - Anesthesia preprocedure evaluation).
2 - Specify the event which corresponds to an exclusion to reviewing the medication list, if one exists. First or Last Documented does not need to be configured.
3 - Specify the flowsheet row and value in which an exclusion to reviewing the medication list will be documented. Start and End Events must be configured with events which will determine the time frame in which to search for that flowsheet row value if different from the defaults of Anesthesia Start and Anesthesia Stop. Lookback and Lookahead Hours can optionally be configured to extend that time frame prior to the Start Event or past the End Event. </t>
  </si>
  <si>
    <t>This rule returns 1 if the procedure was documented as emergent in anesthesia professional billing information, or returns 0 if it was marked as non-emergent. There is no configuration required.</t>
  </si>
  <si>
    <t>This rule returns 1 if a patient has a history of motion sickness, or null if they do not. Some configuration is required. 
Property configuration:
1 - Select the diagnosis grouper that corresponds to motion sickness, and configure As Of Event with the start event used in all surgical cases.
2 - Select the diagnosis grouper that corresponds to motion sickness. Problem status should be set to Active, because resolved problems will be handled by property 1. Problem Class can be optionally configured to filter problems by class. As Of Event does not require configuration.</t>
  </si>
  <si>
    <t>This rule returns 1 if an inhalational anesthetic gas was used for maintenance, or null if one was not. Some configuration is required.
Property configuration: 
1 - Flowsheet rows should be set to whichever flowsheet rows are used for documenting inhalational anesthetic gases. Start and End events should be configured with whichever events mark the start of anesthesia and end of induction period. The defaults are Anesthesia Start and Anesthesia Induction, as these events generally signify the range of an induction anesthetic and start of a maintenance anesthetic. To comply with ASA metric 8, the events used must extend far enough into the case to reasonably assume the anesthetic was not used for induction purposes only. Lookback Hours and Lookahead Hours can be set to look a number of hours before the start event or after the end event to find rate changes. Mode should be set to 2 (Last) in order to evaluate ASA metric 8 against rate changes, showing that the anesthetic was not turned off within the time range.</t>
  </si>
  <si>
    <t>This rule returns the ASA score (aka physical status) of the patient as entered in anesthesia professional billing information and mapped in I LSD 89240 as a category value of I HCT 50005, or null if it was not documented. There is no configuration required.</t>
  </si>
  <si>
    <t>yes</t>
  </si>
  <si>
    <t>Anesthetic</t>
  </si>
  <si>
    <t>ASA 6</t>
  </si>
  <si>
    <t>ASA 7</t>
  </si>
  <si>
    <t>ASA 9</t>
  </si>
  <si>
    <t>ASA 10</t>
  </si>
  <si>
    <t>ASA 11</t>
  </si>
  <si>
    <t>ASA 12</t>
  </si>
  <si>
    <t>ASA 13</t>
  </si>
  <si>
    <t>ASA 14</t>
  </si>
  <si>
    <t>ASA 15</t>
  </si>
  <si>
    <t>X</t>
  </si>
  <si>
    <t>ASA 8</t>
  </si>
  <si>
    <t>All</t>
  </si>
  <si>
    <t>Measure</t>
  </si>
  <si>
    <t>x</t>
  </si>
  <si>
    <t>PB</t>
  </si>
  <si>
    <t>CMS</t>
  </si>
  <si>
    <t>Metric Definition</t>
  </si>
  <si>
    <t>Setup details</t>
  </si>
  <si>
    <t>Returns the patient's date of birth.</t>
  </si>
  <si>
    <t>Returns the patient's zip code.</t>
  </si>
  <si>
    <t>Returns the patient's sex.</t>
  </si>
  <si>
    <t>Returns a one if checklist documentation relating to the postprocedure handoff has been documented via a SmartData Element or an Event.</t>
  </si>
  <si>
    <t xml:space="preserve">Returns the Anesthesia episode ID. </t>
  </si>
  <si>
    <t>Returns the date associated with the Anesthesia encounter.</t>
  </si>
  <si>
    <t xml:space="preserve">Returns the responsible provider for the Anesthesia encounter. </t>
  </si>
  <si>
    <t xml:space="preserve">Returns the primary department accociated with the Anesthesia encounter. </t>
  </si>
  <si>
    <t>Returns the revenue location associated with the Anesthesia encounter.</t>
  </si>
  <si>
    <t>Returns the Service area associated with the Anesthesia encounter.</t>
  </si>
  <si>
    <t>Returns the documented date and time of the Anesthesia Start event.</t>
  </si>
  <si>
    <t>Returns the documented date and time of the Anesthesia Stop event.</t>
  </si>
  <si>
    <t>Returns the documented date and time of the Induction event.</t>
  </si>
  <si>
    <t>Returns the documented date and time of the Emergence event.</t>
  </si>
  <si>
    <t>Returns the documented date and time of the In Room case tracking event.</t>
  </si>
  <si>
    <t>Returns the patient's spoken language as documented in the demographics section of the patient record.</t>
  </si>
  <si>
    <t>Returns the documented date and time of the Out of Room case tracking event.</t>
  </si>
  <si>
    <t>Returns the documented date and time of the Out of Recovery/PACU case tracking event.</t>
  </si>
  <si>
    <t>Returns the documented date and time of the Out of Phase II case tracking event.</t>
  </si>
  <si>
    <t>Returns one if the patient has a documented inpatient administration or outpatient narcotic medication. As released, it is configured to look back one of day before Anesthesia Start.</t>
  </si>
  <si>
    <t xml:space="preserve">Returns one if a central line LDA and/or a procedure nore for a central line LDA was documented on the Anesthesia encounter. </t>
  </si>
  <si>
    <t xml:space="preserve">Returns one if the patient has a chronic pain diagnosis documented in their problem list and/or medical history. 
</t>
  </si>
  <si>
    <t>Returns one if an arterial injury was documented in a note SmartData Element or as an event.</t>
  </si>
  <si>
    <t xml:space="preserve">Returns one if the patient has a major psychiatric disorder documented in the patient's problem list, the patient's medical history, and/or the anesthesia pre-procedure evaluation. </t>
  </si>
  <si>
    <t>Returns the first pain score recorded in Recovery/PACU based on flowsheet documentation and case tracking event times.</t>
  </si>
  <si>
    <t>Returns the highest pain score recorded in Recovery/PACU based on flowsheet documentation and case tracking event times.</t>
  </si>
  <si>
    <t>Returns one if cardiac arrest was documented in a SmartData Element and/or an event.</t>
  </si>
  <si>
    <t>Returns one if deep hypothermia was documented in a SmartData Element and/or an event.</t>
  </si>
  <si>
    <t>Returns one if cardiac bypass was documented in a SmartData Element and/or an event.</t>
  </si>
  <si>
    <t xml:space="preserve">Returns the patient's documented date of death. </t>
  </si>
  <si>
    <t xml:space="preserve">Returns the patient's documented time of death. </t>
  </si>
  <si>
    <t>Returns one if anesthesia complications was documented in a SmartData Element and/or an event.</t>
  </si>
  <si>
    <t>Returns a semicolon-delimited list of professional billing charges for the anesthesia encounter. As released charges are listed as CPT codes and include modifiers.  Integrated Anesthesia PB is required for this property.</t>
  </si>
  <si>
    <t>Returns the billed anesthesia procedure charge. If there are multiple billed procedures, they are returned as a semicolon-delimited list.  As released charges are listed as CPT codes and include modifiers. Integrated Anesthesia PB is required for this property.</t>
  </si>
  <si>
    <t>Returns one if the patient has a second airway placed between the Procedure Start case tracking event and the Out of Recovery case tracking event. Returns zero if a second airway is not placed during this time.</t>
  </si>
  <si>
    <t>Returns one if a transfer to ICU is documented. Returns zero if a transfer to ICU is not documented. A transfer to the ICU can be documented as an event, as a case tracking event, or as a transfer to ICU within a specific number of hours after the out of room case tracking event is documented. As released transfers to ICU are included up to one hour after the out of room time.</t>
  </si>
  <si>
    <t xml:space="preserve">Returns one if the patient has an airway LDA documented between anesthesia start and stop. Returns zero if an airway LDA is not documented. As released a the timeframe for searching for an airway LDA is extended 60 minutes before anesthesia start. </t>
  </si>
  <si>
    <t>Returns the ASA crosswalk CPT code for the billed anesthesia procedure. If there are multiple ASA codes, they are returned as a semicolon-delimited list.</t>
  </si>
  <si>
    <t>Returns semicolon-delimited list of all anesthesia staff documented on the anesthesia record.</t>
  </si>
  <si>
    <t xml:space="preserve">Returns a semicolon-delimited list of the patient's ICD-10 diagnoses based on billing information. Ranks are appended to each diagnosis after a hyphen. 
</t>
  </si>
  <si>
    <t xml:space="preserve">Returns one if the patient has a documented airway LDA prior to anesthesia start. Returns zero if a documented airway LDA is not found. As released the time frame checked for airway LDAs is between 1-2 hours prior to anesthesia start. </t>
  </si>
  <si>
    <t xml:space="preserve">Returns the patient's age at the time of the encounter. </t>
  </si>
  <si>
    <t xml:space="preserve">Returns the patient's state of residence. </t>
  </si>
  <si>
    <t xml:space="preserve">Returns the patient's city of residence. </t>
  </si>
  <si>
    <t xml:space="preserve">Returns the patient's ASA score based on SmartData Element documentation in the Anesthesia encounter. If encounter documentation is not found, the patient's ASA score based on SmartData Element documentation in a note of a specific type is used. In instances where there are multiple notes written with the specified note type, the SmartData Element value from all notes of that type are returned. As released the type 24 - Anesthesia Preprocedure note type is used to check for SmartData Element values if the patient's ASA score based on SmartData Element documentation in the Anesthesia encounter is not found.
</t>
  </si>
  <si>
    <t>Returns one if the patient was documented as emergent in the professional billing data, a SmartData Element on the Anesthesia encounter, or a SmartData Element in a note of a specific type. Returns zero if the patient was not documented as emergent in any of those locations. As released the type 24 - Anesthesia Preprocedure note type is used to check if a patient is emergent based on a SmartData Element a note.</t>
  </si>
  <si>
    <t xml:space="preserve">Returns a semicolon-delimited list of the patient's ICD-9 diagnoses based on billing information. Ranks are appended to each diagnosis after a hyphen. 
</t>
  </si>
  <si>
    <t>Returns one if an inhalational anesthetic gas was documented in a flowsheet row between anesthesia start and stop.</t>
  </si>
  <si>
    <t xml:space="preserve">Returns one if a patient has a diagnosis for PONV (post operative nausea and vomiting) documented in their problem list or medical history. </t>
  </si>
  <si>
    <t xml:space="preserve">Returns the length of time (in minutes) of the Anesthesia encounter's primary procedure. The length of the primary procedure is calculated as the time between the in room and out of room case tracking events. 
</t>
  </si>
  <si>
    <t xml:space="preserve">Returns one if there was a medical reason for not administering pharmocologic prophylaxis documented as an event, as a SmartData Element, and/or in a flowsheet row. </t>
  </si>
  <si>
    <t xml:space="preserve">Returns one if the patient has tobacco use documented in their social history. Returns zero if the patient does not have tobacco use documented in their social history. As released, only documentation occurring prior to the anesthesia start event will be searched. </t>
  </si>
  <si>
    <t xml:space="preserve">Returns one if the patient received an administration of 5-Hydroxytryptamine during preprocedure or intraprocedure care. As released, only medications administered between the in preprocedure and out of room case tracking event are evaluated. </t>
  </si>
  <si>
    <t xml:space="preserve">Returns one if the patient received an administration of antiemetic steroids during preprocedure or intraprocedure care. As released, only medications administered between the in preprocedure and out of room case tracking event are evaluated. </t>
  </si>
  <si>
    <t xml:space="preserve">Returns one if the patient received an administration of antiemetic phenothiazines during preprocedure or intraprocedure care. As released, only medications administered between the in preprocedure and out of room case tracking event are evaluated. </t>
  </si>
  <si>
    <t xml:space="preserve">Returns one if the patient received an administration of antiemetic phenylethylamine during preprocedure or intraprocedure care. As released, only medications administered between the in preprocedure and out of room case tracking event are evaluated. </t>
  </si>
  <si>
    <t xml:space="preserve">Returns one if the patient received an administration of antiemetic butyrophenones during preprocedure or intraprocedure care. As released, only medications administered between the in preprocedure and out of room case tracking event are evaluated. </t>
  </si>
  <si>
    <t xml:space="preserve">Returns one if the patient received an administration of antiemetic antihistamines during preprocedure or intraprocedure care. As released, only medications administered between the in preprocedure and out of room case tracking event are evaluated. </t>
  </si>
  <si>
    <t xml:space="preserve">Returns one if the patient received an administration of antiemetic anticholinergics during preprocedure or intraprocedure care. As released, only medications administered between the in preprocedure and out of room case tracking event are evaluated. </t>
  </si>
  <si>
    <t xml:space="preserve">Returnes one if there was an intended administration of opioids during intraprocedure or postprocedure documented as an event, as a SmartData Element, and/or in a flowsheet row. </t>
  </si>
  <si>
    <t>Returns one if a patient has a diagnosis for PONV (post operative nausea and vomiting) documented in their familey medical history.</t>
  </si>
  <si>
    <t>Returns a semicolen-delimited list of the patient's documented anesthesia type based on SmartData Element documentation in the Anesthesia encounter. If encounter documentation is not found, the patient's ASA score based on SmartData Element documentation in a note of a specific type is used. As released the type 24 - Anesthesia Preprocedure note type is used if the patient's documented anesthesia type is not found in the Anesthesia encounter documentation.</t>
  </si>
  <si>
    <t xml:space="preserve">Returns the documented procedure start date and time based on case tracking event documentaiton. </t>
  </si>
  <si>
    <t xml:space="preserve">Returns the documented procedure end date and time based on case tracking event documentaiton. </t>
  </si>
  <si>
    <t>Returns the ID of the operating room in which the primary procedure was performed.</t>
  </si>
  <si>
    <t xml:space="preserve">Returns the documented in PACU date and time based on case tracking event documentaiton. </t>
  </si>
  <si>
    <t xml:space="preserve">Returns the documented in phase II date and time based on case tracking event documentaiton. </t>
  </si>
  <si>
    <t xml:space="preserve">Returns a semicolon-delimited list of anesthesia types for the billed anesthesia procedure. </t>
  </si>
  <si>
    <t>Retuurns the financial class of the patient's primary payer for the billed anesthesia procedure.</t>
  </si>
  <si>
    <t xml:space="preserve">Returns one if the patient received an administration of a beta blocker within 24 hours prior to incission. As released, only medications administered within one day of the procedure start case tracking event are included. </t>
  </si>
  <si>
    <t xml:space="preserve">Returns one if there was a medical reason for not administering beta blockers 24 hours prior to incision documented as an event, as a SmartData Element, and/or in a flowsheet row. </t>
  </si>
  <si>
    <t xml:space="preserve">Returns the highest temperature that occurred near the end of the anesthesia encounter based on flowsheet documentation. As released all flowsheet documentation for temperature rows between 30 minutes before and 15 minutes after anesthesia stop is evaluated. </t>
  </si>
  <si>
    <t>Returns one if a patient has a peripheral nerve block documented as a procedure note and/or an LDA in the anesthesia encounter.</t>
  </si>
  <si>
    <t xml:space="preserve">Returns one if intentional hypothermia was documented as an event, as a SmartData Element, and/or in a flowsheet row. </t>
  </si>
  <si>
    <t xml:space="preserve">Returns one if prior to admission (PTA) medications were marked as reviewed on the anesthesia encounter in the med rec navigator section and/or a SmartData Element in a note. </t>
  </si>
  <si>
    <t>Returns one if here is documentation stating the current medication list was not reviewed due to an exclusion in an event,  SmartData Element, and/or flowsheet row.</t>
  </si>
  <si>
    <t>Returns the ASA score for the billed anesthesia procedure.</t>
  </si>
  <si>
    <t xml:space="preserve">Returns one if the billed anesthesia procedure was marked as emergent. Returns zero if the billed anesthesia procedure was not marked as emergent. </t>
  </si>
  <si>
    <t xml:space="preserve">Returns one if a patient has a diagnosis for motion sickness documented in their problem list or medical history. </t>
  </si>
  <si>
    <t xml:space="preserve">Returns one if an inhalational anesthetic gas was documented on the anesthesia encounter based on flowsheet documentation. </t>
  </si>
  <si>
    <t>Name in Registry</t>
  </si>
  <si>
    <t>Patient Birth Date</t>
  </si>
  <si>
    <t>DM GENERAL BIRTH DATE</t>
  </si>
  <si>
    <t>Patient Zip Code</t>
  </si>
  <si>
    <t>DM IP PATIENT ZIP CODE</t>
  </si>
  <si>
    <t>Patient Sex</t>
  </si>
  <si>
    <t>DM IP PATIENT SEX</t>
  </si>
  <si>
    <t>Checklist Used</t>
  </si>
  <si>
    <t>Anesthesia Episode ID</t>
  </si>
  <si>
    <t>Anesthesia Record Date</t>
  </si>
  <si>
    <t>Responsible Anesthesia Provider</t>
  </si>
  <si>
    <t>Department ID</t>
  </si>
  <si>
    <t>Revenue Location ID</t>
  </si>
  <si>
    <t>Service Area ID</t>
  </si>
  <si>
    <t>Anesthesia Start Date and Time</t>
  </si>
  <si>
    <t>Anesthesia Stop Date and Time</t>
  </si>
  <si>
    <t>Induction Date and Time</t>
  </si>
  <si>
    <t>Emergence Date and Time</t>
  </si>
  <si>
    <t>In Room Date and Time</t>
  </si>
  <si>
    <t>Patient Language</t>
  </si>
  <si>
    <t>Out of Room Date and Time</t>
  </si>
  <si>
    <t>Out of Recovery Date and Time</t>
  </si>
  <si>
    <t>Out of Phase II Date and Time</t>
  </si>
  <si>
    <t>Patient Taking Narcotics</t>
  </si>
  <si>
    <t>Central Line Placed</t>
  </si>
  <si>
    <t>Patient Has Chronic Pain</t>
  </si>
  <si>
    <t>Artirial Injury</t>
  </si>
  <si>
    <t>Patient Has Psychiatric Disorder</t>
  </si>
  <si>
    <t>First PACU Pain Score</t>
  </si>
  <si>
    <t>Highest PACU Pain Score</t>
  </si>
  <si>
    <t>Cariac Arrest</t>
  </si>
  <si>
    <t>Deep Hypothermia</t>
  </si>
  <si>
    <t>Cardiac Bypass</t>
  </si>
  <si>
    <t>Date of Death</t>
  </si>
  <si>
    <t>Time of Death</t>
  </si>
  <si>
    <t>Anesthesia Complications</t>
  </si>
  <si>
    <t>PB CPT Codes</t>
  </si>
  <si>
    <t>Billed CPT Codes</t>
  </si>
  <si>
    <t>Reintubation</t>
  </si>
  <si>
    <t>Transfer to ICU</t>
  </si>
  <si>
    <t>Intubated for Procedrue</t>
  </si>
  <si>
    <t>ASA Codes</t>
  </si>
  <si>
    <t>Anesthesia Staff</t>
  </si>
  <si>
    <t>Diagnosis List (ICD 10)</t>
  </si>
  <si>
    <t>Previous Intubation</t>
  </si>
  <si>
    <t>Patient Age At Encounter</t>
  </si>
  <si>
    <t>Patient State of Residence</t>
  </si>
  <si>
    <t>Patient City of Residence</t>
  </si>
  <si>
    <t>ASA Score</t>
  </si>
  <si>
    <t>Emergent</t>
  </si>
  <si>
    <t>Diagnosis List (ICD 9)</t>
  </si>
  <si>
    <t>Inhalation Anesthetic Used</t>
  </si>
  <si>
    <t>History of PONV</t>
  </si>
  <si>
    <t>Primary Procedure Length</t>
  </si>
  <si>
    <t>Prophylaxis Antiemetics Not Given for Medical Reason</t>
  </si>
  <si>
    <t>Smoking Status</t>
  </si>
  <si>
    <t>Antiemetic 5-HT Administered</t>
  </si>
  <si>
    <t>Antiemetic Steroid Administration</t>
  </si>
  <si>
    <t>Antiemetic Phynothiazine Administered</t>
  </si>
  <si>
    <t>Antiemetic Butyrophenone Administered</t>
  </si>
  <si>
    <t>Antiemetic Anticholinergic Administered</t>
  </si>
  <si>
    <t>Intended Opioid Administration</t>
  </si>
  <si>
    <t>Family History of PONV</t>
  </si>
  <si>
    <t>Anesthesia Type</t>
  </si>
  <si>
    <t>Procedure Start Date and Time</t>
  </si>
  <si>
    <t>Procedure End Date and Time</t>
  </si>
  <si>
    <t>Operating Room</t>
  </si>
  <si>
    <t>In PACU Date and Time</t>
  </si>
  <si>
    <t>DM AN Patient in PACU Instant</t>
  </si>
  <si>
    <t>In Phase II Date and Time</t>
  </si>
  <si>
    <t>Billed Anesthesia Type</t>
  </si>
  <si>
    <t>Primary Payer Financial Class</t>
  </si>
  <si>
    <t>Beta Blocker Within 24 Hours</t>
  </si>
  <si>
    <t>Beta Blocker Exclusion</t>
  </si>
  <si>
    <t>Highest Temp Near AN End</t>
  </si>
  <si>
    <t>Peripheral Nerve Block</t>
  </si>
  <si>
    <t>Intentional Hypothermia</t>
  </si>
  <si>
    <t>Medicaiton List Reviewed</t>
  </si>
  <si>
    <t>Exclusion To Reviewing Medication List</t>
  </si>
  <si>
    <t>Billed ASA Score</t>
  </si>
  <si>
    <t>Billed Emergent Status</t>
  </si>
  <si>
    <t>History of Motion Sickness</t>
  </si>
  <si>
    <t>Maintenance General Anesthetic Used</t>
  </si>
  <si>
    <t>No configuration, returns the value stored in the patient's record (I EPT 110).</t>
  </si>
  <si>
    <t>No configuration, returns the value stored in the patient's record (I EPT 80).</t>
  </si>
  <si>
    <t>No configuration, returns the value stored in the patient's record (I EPT 130).</t>
  </si>
  <si>
    <t>At least one of the following properties is required for the metric to function.
For each item your organization documents, fill out the associated property:
1 - Select which note type to search and configure the SmartData Element corresponds to checklist use and configure the operator, and value as appropriate.
2 - Select the event (LEV) which corresponds to checklist use. First or Last Documented does not require configuration.</t>
  </si>
  <si>
    <t>No configuration, returns the ID of the anesthesia episode (I HSB .1).</t>
  </si>
  <si>
    <t>No configuration, returns the first value which is documented: the date of the primary linked procedure (I HSB 89040),  Anesthesia Start, linked procedure date, ad hoc procedure date (I HSB 89031), or ad hoc creation date (I HSB 70).</t>
  </si>
  <si>
    <t>No configuration, returns the value stored in the patient's record (I EPT 7070).</t>
  </si>
  <si>
    <t>No configuration, returns the revenue location of the contact department (I ORL 8027).</t>
  </si>
  <si>
    <t>No configuration, returns the charge service area of the primary log (I ORL 8026).</t>
  </si>
  <si>
    <t>Configuration completed as a part of fundamental OpTime/Anesthesia build. Returns the time of the event in the OpTime System/Location definitions for the LEV mapped to Anesthesia Start.</t>
  </si>
  <si>
    <t>Configuration completed as a part of basic OpTime/Anesthesia Build. Returns the time of the event in the OpTime System/Location definitions for the LEV mapped to Anesthesia Stop.</t>
  </si>
  <si>
    <t>The property is required for the metric to function.
Fill out the associated property:
1- Select the Anesthesia event your organization uses to document Induction.</t>
  </si>
  <si>
    <t>The property is required for the metric to function.
Fill out the associated property:
1- Select the Anesthesia event your organization uses to document Emergence.</t>
  </si>
  <si>
    <t>Configuration completed as a part of basic OpTime/Anesthesia Build. Returns the time of the event in the OpTime System/Location definitions for the LEV mapped to Patient in room.</t>
  </si>
  <si>
    <t>No configuration,  returns the ISO 639-1 code equivalent of the patient's spoken lanuguage(I EPT 155). You can update the mappings of your list of languages available in EPT item 155 by updating the table in HDF item 3101.</t>
  </si>
  <si>
    <t>Configuration completed as a part of basic OpTime/Anesthesia Build. Returns the time of the event in the OpTime System/Location definitions for the LEV mapped to Out of Room.</t>
  </si>
  <si>
    <t>Configuration completed as a part of basic OpTime/Anesthesia Build. Returns the time of the event in the OpTime System/Location definitions for the LEV mapped to Out of Recovery.</t>
  </si>
  <si>
    <t>Configuration completed as a part of basic OpTime/Anesthesia Build. Returns the time of the event in the OpTime System/Location definitions for the LEV mapped to Out of Phase II.</t>
  </si>
  <si>
    <t xml:space="preserve">
At least one of the following properties is required for the metric to function.
For each item your organization documents, fill out the associated property:
1 -  Select which note type to search for the anesthesia procedure note; the default is 28 (Anesthesia Procedure Note). EAP Grouper ID and Procedure IDs should be configured to look for central line procedures.
2 - LDATYPES can be configured with specific types or LDAs, or alternatively, leave it blank to pull in all LDAs.</t>
  </si>
  <si>
    <t>At least one of the following properties is required for the metric to function.
For each item your organization documents, fill out the associated property:
1 - Specify the grouper (VCG) containing diagnosis (EDG) records considered chronic pain in the Diagnosis Grouper parameter here. Optionally, set the As Of Event parameter so only problems documented as of a certain time in the case will be searched. Problem Status and Problem Class parameters do not require configuration.
2 - Specify the grouper(VCG) containing diagnosis(EDG) records considered chronic pain in the Diagnosis Grouper parameter. Optionally, set the As Of Event parameter so only problems documented as of a certain time in the case will be searched.</t>
  </si>
  <si>
    <t>At least one of the following properties is required for the metric to function.
For each item your organization documents, fill out the associated property:
1 - Select which note type to search for the anesthesia procedure note; the default is 28 (Anesthesia Procedure Note). SDE should be configured with the SmartData Element, procedure grouper (VCG), and procedures (EAP)  corresponding to arterial injury.
2 - If you document injury in another kind of note, specify that note type here, along with the appropriate SmartData Element, operator, and value.
3 - Configure Event Template with the event that corresponds to arterial injury. First or Last Documented does not require configuration.</t>
  </si>
  <si>
    <t>At least one of the following properties is required for the metric to function.
For each item your organization documents, fill out the associated property:
1 - Specify the grouper (VCG) containing psychiatric disorder diagnoses (EDG) to search for in the patient's problem list.
2 - Specify the grouper (VCG) containing psychiatric disorder diagnoses (EDG) to search for in the patient's medical history.
3 - Specify the SmartData Element in which psychiatric history is documented in the anesthesia note. EPIC#HPI0298 is the default. Specify the note type, the operator and values to check against that indicate psychiatric history was documented for the patient.
4 - This property should be configured similarly to property 3, but configured such that the SmartData Element value indicates the patient does not have a psychiatric history.</t>
  </si>
  <si>
    <t>If reporting for ASA measure #14, a flowsheet row with a 0-10 pain scale should be used.
At least one of the following properties is required for the metric to function.
For each item your organization documents, fill out the associated property:
1 - The Flowsheet Rows parameter should be configured with the flowsheet row(s) in which pain score is documented. Optionally, change the Start Event, End Event, Lookback Hours, and Lookahead Hours to adjust the time range the patient is considered to be in the PACU. The Mode parameter should be set to First.</t>
  </si>
  <si>
    <t>At least one of the following properties is required for the metric to function.
For each item your organization documents, fill out the associated property:
1 - Select which note type to search and configure the SmartData Element corresponding to cardiac arrest and configure the operator, and value as appropriate.
2 - Select the event (LEV) which corresponds to cardiac arrest. First or Last Documented does not require configuration.</t>
  </si>
  <si>
    <t>At least one of the following properties is required for the metric to function.
For each item your organization documents, fill out the associated property:
1 - Select which note type to search and configure the SmartData Element corresponding to cardiac bypass and configure the operator, and value as appropriate.
2 - Select the event (LEV) which corresponds to cardiac bypass. First or Last Documented does not require configuration.</t>
  </si>
  <si>
    <t>No configuration, returns the value stored in the patient's record (I EPT 115).</t>
  </si>
  <si>
    <t>No configuration, returns the value stored in the patient's record (I EPT 116).</t>
  </si>
  <si>
    <t>All configuration optional.
For each item your organization documents, fill out the associated property:
1 - Show CPT codes should be set to Yes. 
2 - Display modifiers should be set to Yes.</t>
  </si>
  <si>
    <t>The property is required for the metric to function.
Fill out the associated property:
1 and 2 -  Select the category numbers associated with LDA types that should be considered airways. LDA types are configured in category list FLO 8040.</t>
  </si>
  <si>
    <t xml:space="preserve">
At least one of the following properties is required for the metric to function.
For each item your organization documents, fill out the associated property:
1 -  Configure Event Template (LEV ID) with the anesthesia event that signifies a transfer to the ICU, if one exists. First or Last Documented does not need to be configured.
2 - Specify the OpTime case tracking event that signifies a transfer to the ICU, if one exists.
3 - Configure the Lookahead Hours parameter with the number of hours to look past the Out of Room case timing event, which determines the time window for finding ICU transfers.</t>
  </si>
  <si>
    <t>The property is required for the metric to function.
Fill out the associated property:
1 - Configure the Airway Types parameter with the category numbers for LDA types that should be considered airways, and the Buffer Minutes parameter with the number of minutes to look back prior to the Anesthesia Start event if a longer timeframe is desired.</t>
  </si>
  <si>
    <t>No configuration, returns the CPT code of the anesthesia procedure that was billed from the billing information in Epic if using integrated PB.</t>
  </si>
  <si>
    <t>All configuration optional. If your organization is not using ICD-10-CM, then change the code to a different ICD-10 code set. Include diagnosis rank should be Yes.</t>
  </si>
  <si>
    <t>The property is required for the metric to function.
Fill out the associated property:
1 and 2 - Configure the Airway Types parameter with the category numbers for LDA types that should be considered airways, configure the Lookback Hours parameter with the number of hours to look prior to Anesthesia Start to see whether an airway was present (default is 1), and the Buffer Minutes parameter with a number of minutes prior to Anesthesia Start where the presence of an airway should NOT be considered a previous intubation. The buffer minutes are intended to be used in conjunction with the Buffer Minutes parameter in CER 89044 - AN REGISTRY INTUBATED FOR PROCEDURE (i.e. If the buffer for an airway to be considered an intubation for the procedure is 10 minutes, the buffer parameter here should be 10 minutes so the same airway isn't considered both a previous intubation and an intubation for the procedure). The default for this parameter is 0.</t>
  </si>
  <si>
    <t>No configuration, returns the difference between the patient's birthdate (I EPT 110) and the scheduled encounter date.</t>
  </si>
  <si>
    <t>No configuration, returns the value stored in the patient's record (I EPT 70).</t>
  </si>
  <si>
    <t>No configuration, returns the value stored in the patient's record (I EPT 60).</t>
  </si>
  <si>
    <t>All configuration optional. This rule will check System Definitions (LSD item 89210) for the SmartData Element used to document the Anesthesia Type. If none is documented, it will fall back to SmartData Element EPIC#10040. Then it will check the value of the specific SDE on the Anesthesia Encounter, if nothing is  found the element value from the specified note type will be used (24 -Preprocedure Evaluation by default).</t>
  </si>
  <si>
    <t>All configuration optional. The emergent status SmartData element for anesthesia records is specified in I LSD 89215. Documentation is searched in this order: professional billing data (if specified), anesthesia encounter level SmartData element documentation, if nothing is  found the element value from the specified note type will be used (24 -Preprocedure Evaluation by default).</t>
  </si>
  <si>
    <t xml:space="preserve">No configuration, returns a semicolon-delimited list of diagnoses from the billing information if using integrated PB.
</t>
  </si>
  <si>
    <t>The property is required for the metric to function.
Fill out the associated property:
1 - Flowsheet rows should be set to whichever flowsheet rows are used for documenting inhalational anesthetic gases. Start and End events should be configured with whichever events mark the start and end of surgery or anesthesia. The defaults are Anesthesia Start and Anesthesia Stop, as these events generally signify the range of an anesthetic. Lookback Hours and Lookahead Hours can optionally be set to look a number of hours before the start event, or after the end event. Mode should be set to 3 (Highest) in order to evaluate ASA metrics 7 and 8 correctly.</t>
  </si>
  <si>
    <t>At least one of the following properties is required for the metric to function.
For each item your organization documents, fill out the associated property:
1 - Input grouper (VCG) of Diagnoses (EDG) for PONV and Motion Sickness, and configure As Of Event with the start event used in all surgical cases.
2 -Input grouper (VCG) of Diagnoses (EDG) for PONV and Motion Sickness. Problem status should be set to Active, because resolved problems will be handled by property 1. Problem Class can be optionally configured to filter problems by class. As Of Event does not require configuration.
Input grouper (VCG) of Diagnoses (EDG) for PONV and Motion Sickness</t>
  </si>
  <si>
    <t>Configuration completed as a part of fundamental OpTime/Anesthesia build. Returns the length of time between the In Room and Out of Room timing events as defined in the OpTime System/Location definitions.</t>
  </si>
  <si>
    <t xml:space="preserve">At least one of the following properties is required for the metric to function.
For each item your organization documents, fill out the associated property:
1 - Specify the SDE and note type in which this will be documented.  
2 - Specify the event which corresponds to the Reason for not Adminstering Pharmocologic Prophylaxis, if one exists. First or Last Documented does not need to be configured.
3 - Specify the flowsheet row and value in which an intended adminstration will be documented. Start and End Events must be configured with events which will determine the time frame in which to search for that flowsheet row value if different from the defaults of Anesthesia Start and Anesthesia Stop. Lookback and Lookahead Hours can optionally be configured to extend that time frame prior to the Start Event or past the End Event. </t>
  </si>
  <si>
    <t xml:space="preserve">The property is required for the metric to function.
Fill out the associated property:
1 - Social History Type should be configured with Tobacco. As of Event can optionally be used to search history only up to a certain event. If left blank (default), the most recent social history is used. </t>
  </si>
  <si>
    <t>The property is required for the metric to function.
Fill out the associated property: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5-Hydroxytryptamine. Lookback and Lookahead Hours can optionally be configured to extend the search prior to the Start Event, or past the End Event.
Optionally, update the case timing events in OpTime System/Location Definitions.</t>
  </si>
  <si>
    <t>The property is required for the metric to function.
Fill out the associated property: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antiemetic steroids. Lookback and Lookahead Hours can optionally be configured to extend the search prior to the Start Event, or past the End Event. 
Optionally, update the case timing events in OpTime System/Location Definitions.</t>
  </si>
  <si>
    <t>The property is required for the metric to function.
Fill out the associated property: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phenothiazines. Lookback and Lookahead Hours can optionally be configured to extend the search prior to the Start Event, or past the End Event. 
Optionally, update the case timing events in OpTime System/Location Definitions.</t>
  </si>
  <si>
    <t>The property is required for the metric to function.
Fill out the associated property: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phenylethylamine. Lookback and Lookahead Hours can optionally be configured to extend the search prior to the Start Event, or past the End Event. 
Optionally, update the case timing events in OpTime System/Location Definitions.</t>
  </si>
  <si>
    <t>The property is required for the metric to function.
Fill out the associated property: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butyrophenones. Lookback and Lookahead Hours can optionally be configured to extend the search prior to the Start Event, or past the End Event. 
Optionally, update the case timing events in OpTime System/Location Definitions.</t>
  </si>
  <si>
    <t>The property is required for the metric to function.
Fill out the associated property: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antiemetic antihistamines. Lookback and Lookahead Hours can optionally be configured to extend the search prior to the Start Event, or past the End Event. 
Optionally, update the case timing events in OpTime System/Location Definitions.</t>
  </si>
  <si>
    <t>The property is required for the metric to function.
Fill out the associated property:
1 - Start and End Events should be configured with the event that marks the time the patient entered the preprocedure area, and the time the patient left the OR, respectively. Med Grouper should be populated with the medication grouper that contains medications that should be considered antiemetic anticholinergics. Lookback and Lookahead Hours can optionally be configured to extend the search prior to the Start Event, or past the End Event. 
Optionally, update the case timing events in OpTime System/Location Definitions.</t>
  </si>
  <si>
    <t xml:space="preserve">At least one of the following properties is required for the metric to function.
For each item your organization documents, fill out the associated property:
1 - Specify the SDE and note type in which this will be documented, if different than the defaults of SDE EPIC#47195, and note type 28 (Anesthesia postprocedure evaluation).  
2 - Specify the event which corresponds to the intended adminstration, if one exists. First or Last Documented does not need to be configured.
3 - Specify the flowsheet row and value in which an intended adminstration will be documented. Start and End Events must be configured with events which will determine the time frame in which to search for that flowsheet row value if different from the defaults of Anesthesia Start and Anesthesia Stop. Lookback and Lookahead Hours can optionally be configured to extend that time frame prior to the Start Event or past the End Event. </t>
  </si>
  <si>
    <t>The property is required for the metric to function.
Fill out the associated property:
1 - Select family members' histories to be searched (default is Brother, Father, Mother, and Sister). The family history should be set to PONV or an equally valid value in category list EPT-19360. This rule will look to the most recent history contact prior to the provided Case Timing Event instant. If no Case Timing Event is set, we will use the most recent family history regardless of the contact.
This rule will look to the most recent history contact prior to the provided Case Timing Event instant. If no Case Timing Event is set, we will use the most recent family history regardless of the contact.</t>
  </si>
  <si>
    <t>All configuration optional. This rule will check System Definitions (LSD item 89220) for the SmartData Element used to document the Anesthesia Type. If none is documented, it will fall back to SmartData Element EPIC#0251. Then it will check the value of the specific SDE on the Anesthesia Encounter, if nothing is  found the element value from the specified note type will be used (24 -Preprocedure Evaluation by default).</t>
  </si>
  <si>
    <t>Configuration completed as a part of fundamental OpTime/Anesthesia build. Returns the time of the event in the OpTime System/Location definitions for the LEV mapped to In Recovery.</t>
  </si>
  <si>
    <t xml:space="preserve">No configuration, returns the SER ID of the operating room in which the primary procedure was performed (ORL 500). </t>
  </si>
  <si>
    <t>Configuration completed as a part of fundamental OpTime/Anesthesia build. Returns the time of the event in the OpTime System/Location definitions for the LEV mapped to In Phase II.</t>
  </si>
  <si>
    <t>No configuration. Integrated Anesthesia PB is required for this property. If the Anesthesia type mapping table needs to be updated, edit the entries in I LSD 89320.</t>
  </si>
  <si>
    <t xml:space="preserve">No configuration, returns the financial class of the primary payer for anesthesia professional billing charges if using integrated PB. This is returned as a category value from I HCT 50000.
</t>
  </si>
  <si>
    <t xml:space="preserve">The property is required for the metric to function.
Fill out the associated property:
1 - Specify a medication grouper containing beta blockers, and the case timing event which signifies the incision time for a procedure if different from the default of Procedure Start. 
Timing Events can be configured in OpTime System/Location Definitions. </t>
  </si>
  <si>
    <t xml:space="preserve">At least one of the following properties is required for the metric to function.
For each item your organization documents, fill out the associated property:
1 - Specify the SDE and note type in which this will be documented, if different than the defaults of SDE EPIC#3143, and note type 24 (Anesthesia preprocedure evaluation).  
2 - Specify the event which corresponds to the medical exclusion, if one exists. First or Last Documented does not need to be configured.
3 - Specify the flowsheet row and value in which a medical exclusion will be documented. Start and End Events must be configured with events which will determine the time frame in which to search for that flowsheet row value if different from the defaults of Anesthesia Start and Anesthesia Stop. Lookback and Lookahead Hours can optionally be configured to extend that time frame prior to the Start Event or past the End Event. </t>
  </si>
  <si>
    <t>The property is required for the metric to function.
Fill out the associated property:
1 - Specify the flowsheet rows that are used for documenting patient temperature, and enter the event corresponding to anesthesia end in both the Start Event and End Event parameters if different from the default of Anesthesia Stop.
Configuration for the case timing events can be found the the OpTime System/Location definitions.</t>
  </si>
  <si>
    <t>At least one of the following properties is required for the metric to function.
For each item your organization documents, fill out the associated property:
1 - Specify the EAP Grouper and Procedure IDs for procedures that should be considered peripheral nerve blocks, along with the note type in which these will be documented (default is 28-Anesthesia Procedure Note).
2 - Specify the LDA types that should be considered peripheral nerve blocks.</t>
  </si>
  <si>
    <t>At least one of the following properties is required for the metric to function.
For each item your organization documents, fill out the associated property:
1 - Med List Status should be configured with the reconciliation status category value(s) from I IEV 1500 that should be considered proof of medications having been reviewed.
2 - Specify the SDE and value that corresponds to med rec (defaults are EPIC#15775 and 1), as well as the note type in which to check for that SDE (default is 24 - Anesthesia preprocedure evaluation).</t>
  </si>
  <si>
    <t xml:space="preserve">At least one of the following properties is required for the metric to function.
For each item your organization documents, fill out the associated property:
1 - Specify the SDE and note type in which this will be documented, if different than the defaults of SDE EPIC#38969, and note type 24 (Anesthesia Preprocedure evaluation).  
2 - Specify the event which corresponds to the exclusion to reviewing the medication list, if one exists. First or Last Documented does not need to be configured.
3 - Specify the flowsheet row and value in which an exclusion will be documented. Start and End Events must be configured with events which will determine the time frame in which to search for that flowsheet row value if different from the defaults of Anesthesia Start and Anesthesia Stop. Lookback and Lookahead Hours can optionally be configured to extend that time frame prior to the Start Event or past the End Event. </t>
  </si>
  <si>
    <t>No configuration. Integrated Anesthesia PB is required for this property. If the ASA mapping table needs to be updated, edit the entries in I LSD 89340 which links to category list HCT 50005.</t>
  </si>
  <si>
    <t>No configuration, returns the emergent status from anesthesia professional billing information if using integrated PB.</t>
  </si>
  <si>
    <t xml:space="preserve">At least one of the following properties is required for the metric to function.
For each item your organization documents, fill out the associated property:
1 - Select the diagnosis grouper that corresponds to motion sickness, and configure As Of Event with the start event used in all surgical cases.
2 - Select the diagnosis grouper that corresponds to motion sickness. Problem status should be set to Active, because resolved problems will be handled by property 1. Problem Class can be optionally configured to filter problems by class. As Of Event does not require configuration.
</t>
  </si>
  <si>
    <t>The property is required for the metric to function.
Fill out the associated property:
1 - Flowsheet rows should be set to whichever flowsheet rows are used for documenting inhalational anesthetic gases. Start and End events should be configured with whichever events mark the start of anesthesia and end of induction period. The defaults are Anesthesia Start and Anesthesia Induction, as these events generally signify the range of an induction anesthetic and start of a maintenance anesthetic. To comply with ASA metric 8, the events used must extend far enough into the case to reasonably assume the anesthetic was not used for induction purposes only. Lookback Hours and Lookahead Hours can be set to look a number of hours before the start event or after the end event to find rate changes. Mode should be set to 2 (Last) in order to evaluate ASA metric 8 against rate changes, showing that the anesthetic was not turned off within the time range.</t>
  </si>
  <si>
    <t>IDs</t>
  </si>
  <si>
    <t>Event (LEV)</t>
  </si>
  <si>
    <t>SmartData Element and Value</t>
  </si>
  <si>
    <t>Flowsheet Row (FLO)</t>
  </si>
  <si>
    <t>Grouper (VCG)</t>
  </si>
  <si>
    <t xml:space="preserve">No configuration, the logic to determine the overall responsible anesthesiologist for the encounter is stored in I LSD 89400. It can be updated in System Definitions (Clinical Administration &gt; Edit System Definitions &gt; Specialties, Other Modules &gt; Anesthesia &gt; Anesthesia Staff Options). </t>
  </si>
  <si>
    <t>Grouper (VCG type ERX)</t>
  </si>
  <si>
    <t>Grouper (VCG type EAP)</t>
  </si>
  <si>
    <t>Procedures (EAP)</t>
  </si>
  <si>
    <t>Grouper (VCG type EDG)</t>
  </si>
  <si>
    <t>Grouper (VCG of EDG)</t>
  </si>
  <si>
    <t>Flowsheet row (FLO)</t>
  </si>
  <si>
    <t>LDA types (from category list FLO 8040)</t>
  </si>
  <si>
    <t>Validate defaults</t>
  </si>
  <si>
    <t>Configuration</t>
  </si>
  <si>
    <t>Validate</t>
  </si>
  <si>
    <t>No Configuration</t>
  </si>
  <si>
    <t>Configure and Validate</t>
  </si>
  <si>
    <t xml:space="preserve">No configuration, finds the staffing documentation from billing information if using integrated PB. Otherwise, the staffing documentation will be pulled from Anesthesia encounter (I HSB 89300). </t>
  </si>
  <si>
    <t>Social History Type</t>
  </si>
  <si>
    <t>Configuration completed as a part of fundamental OpTime/Anesthesia build. Returns the time of the event in the OpTime System/Location definitions for the LEV mapped to Procedure End.</t>
  </si>
  <si>
    <t>Event and Flowsheet</t>
  </si>
  <si>
    <t>Event and SmartData Element</t>
  </si>
  <si>
    <t>Flowsheet and SmartData Element</t>
  </si>
  <si>
    <t>Event, Flowsheet and SmartData Element</t>
  </si>
  <si>
    <t>At least one of the following properties is required for the metric to function.
For each item your organization documents, fill out the associated property:
1 - Select which note type to search and configure the SmartData Element corresponding to deep hypothermia and configure the operator, and value as appropriate.
2 - Select the event (LEV) which corresponds to deep hypothermia. First or Last Documented does not require configuration.</t>
  </si>
  <si>
    <t>At least one of the following properties is required for the metric to function.
For each item your organization documents, fill out the associated property:
1 - Select which note type to search and configure the SmartData Element corresponding to anesthesia complications and configure the operator, and value as appropriate.
2 - Select the event (LEV) which corresponds to anesthesia complications. First or Last Documented does not require configuration.</t>
  </si>
  <si>
    <t>Family History (Category  list EPT 19360)</t>
  </si>
  <si>
    <t>Med List Status (Category list IEV 1500)</t>
  </si>
  <si>
    <t>Med List Status and SmartData Element</t>
  </si>
  <si>
    <t>For Lookup</t>
  </si>
  <si>
    <t>Metrics</t>
  </si>
  <si>
    <t>Metric Details</t>
  </si>
  <si>
    <t>row to look at from Metric to Details</t>
  </si>
  <si>
    <t>Steward</t>
  </si>
  <si>
    <t>Definition</t>
  </si>
  <si>
    <t>Measure Name</t>
  </si>
  <si>
    <t>Ready?</t>
  </si>
  <si>
    <t>ASA #6</t>
  </si>
  <si>
    <t>See AQI's Website</t>
  </si>
  <si>
    <t>ASA #7</t>
  </si>
  <si>
    <t>ASA #8</t>
  </si>
  <si>
    <t>ASA #9</t>
  </si>
  <si>
    <t>ASA #10</t>
  </si>
  <si>
    <t>ASA #11</t>
  </si>
  <si>
    <t>ASA #12</t>
  </si>
  <si>
    <t>ASA #13</t>
  </si>
  <si>
    <t>ASA #14</t>
  </si>
  <si>
    <t>ASA #15</t>
  </si>
  <si>
    <t>Measure Number</t>
  </si>
  <si>
    <t>Prevention of Post-Operative Nausea and Vomiting (PONV) - Combination Therapy (Adults)</t>
  </si>
  <si>
    <t>Post-Anesthetic Transfer of Care: Use of Checklist or Protocol for Direct Transfer of Care from Procedure Room to Intensive Care Unit (ICU)</t>
  </si>
  <si>
    <t>Prevention of Post-Operative Vomiting (POV) - Combination Therapy (Pediatrics)</t>
  </si>
  <si>
    <t>Anesthesiology: Post-Anesthetic Transfer of Care Measure: Procedure Room to a Post Anesthesia Care Unit</t>
  </si>
  <si>
    <t>Composite Anesthesia Safety</t>
  </si>
  <si>
    <t>Immediate Perioperative Cardiac Arrest</t>
  </si>
  <si>
    <t>Immediate Perioperative Mortality Rate</t>
  </si>
  <si>
    <t>Post Anesthesia Care Unit (PACU) Re-intubation Rate</t>
  </si>
  <si>
    <t>Short-term Pain Management</t>
  </si>
  <si>
    <t>Composite Procedural Safety for Central Line Placement</t>
  </si>
  <si>
    <t>Enter your Anesthesia Billing Status:</t>
  </si>
  <si>
    <t>Registry Metrics Required to Report</t>
  </si>
  <si>
    <t>3rd Party Billing</t>
  </si>
  <si>
    <t>Epic Anesthesia PB</t>
  </si>
  <si>
    <t>Remaining Configuration/Validation Needed</t>
  </si>
  <si>
    <t>Config Rec?</t>
  </si>
  <si>
    <t>Ids?</t>
  </si>
  <si>
    <t>Status</t>
  </si>
  <si>
    <t>Is the metric number to the right complete?</t>
  </si>
  <si>
    <t>Action Required</t>
  </si>
  <si>
    <t>Metric ID</t>
  </si>
  <si>
    <t>Last Updated:</t>
  </si>
  <si>
    <t>Date Originally Published:</t>
  </si>
  <si>
    <t>Data Dictionary</t>
  </si>
  <si>
    <t>Anesthesia Registry Metrics</t>
  </si>
  <si>
    <t>Table of Contents</t>
  </si>
  <si>
    <t>• Read Me: An introduction to the document and how to use it.</t>
  </si>
  <si>
    <t xml:space="preserve">• Metric Details: An individual look at each metric and the configuration and testing it requires. You can use this sheet as a build tracker for your work. </t>
  </si>
  <si>
    <t>• Measures and Benchmarks: A breakdown of the registry metrics required to report on specific AQI measures.</t>
  </si>
  <si>
    <t>How to Use this Document</t>
  </si>
  <si>
    <t>Measures and Benchmarks</t>
  </si>
  <si>
    <t>You can find more information on how to setup registries at the following sources:</t>
  </si>
  <si>
    <t xml:space="preserve">• Analytics – Registries Setup and Support Guide on Galaxy </t>
  </si>
  <si>
    <t xml:space="preserve">• Modifying Reporting Registries [RPT750] weLearning </t>
  </si>
  <si>
    <t>© 2015 Epic Systems Corporation. All rights reserved. PROPRIETARY INFORMATION - This item and its contents may not be accessed, used, modified, reproduced, released, performed, displayed, loaded, stored, distributed, shared, or disclosed except as expressly provided in the Epic agreement pursuant to which you are permitted (if you are permitted) to do so. This item contains trade secrets and commercial information that are privileged, confidential, and exempt from disclosure under the Freedom of Information Act and prohibited from disclosure under the Trade Secrets Act. This item and its contents are “Commercial Items,” as that term is defined at 48 C.F.R. § 2.101. After Visit Summary, Analyst, ASAP, Beaker, BedTime, Break-the-Glass, Breeze, Cadence, Canto, Care Elsewhere, Care Everywhere, Charge Router, Chronicles, Clarity, Cogito ergo sum, Cohort, Colleague, Comfort, Community Connect, Country Connect, Cupid, Epic, EpicCare, EpicCare Link, Epicenter, Epic Earth, EpicLink, EpicOnHand, EpicWeb, Good Better Best, Grand Central, Haiku, Healthy People, Healthy Planet, Hyperspace, Identity, IntraConnect, Kaleidoscope, Light Mode, Lucy, MyChart, MyEpic, OpTime, OutReach, Patients Like Mine, Phoenix, Powered by Epic, Prelude, Radar, RedAlert, Region Connect, Resolute, Revenue Guardian, Rover, SmartForms, Sonnet, Stork, Tapestry, Trove, Trusted Partners, Welcome, Willow, Wisdom, With the Patient at Heart and World Connect are registered trademarks, trademarks or service marks of Epic Systems Corporation in the United States and/or in other countries. Other product or company names referenced herein may be trademarks of their respective owners. U.S. and international patents issued and pending.</t>
  </si>
  <si>
    <t>The property is required for the metric to function.
Fill out the associated property:
1 - Specify a grouper of medication (ERX) records considered narcotics in the Medication Grouper parameter. Optionally, change the As Of Event parameter to only search active prescriptions as of a certain time in the case or inpatient medications administered within a certain time in the case. Optionally, change the lookback days to alter how far back to search for medications. The recommendation is 1 day.
Optional: Timing events configuration is in OpTime System/Location Definitions.</t>
  </si>
  <si>
    <t>Foundation Configuration Record</t>
  </si>
  <si>
    <t>Flowsheet
Flowsheet
Flowsheet</t>
  </si>
  <si>
    <t>R AN AGENTS ISOFLURANE INSPIRED (1120100106)
R AN AGENTS DESFLURANE INSPIRED (1120100105)
R AN AGENTS SEVOFLURANE INSPIRED (1120100107)</t>
  </si>
  <si>
    <t>Grouper</t>
  </si>
  <si>
    <t>EDG CONCEPT MOTION SICKNESS [100159]</t>
  </si>
  <si>
    <t>Foundation System Configuration 2015</t>
  </si>
  <si>
    <t>SmartData Element</t>
  </si>
  <si>
    <t>WORKFLOW - QUALITY MEASUREMENT - EXCLUSION REASONS - ELIGIBLE PROFESSIONAL ATTESTS THE PATIENT IS NOT ELIGIBLE FOR MEDICATION DOCUMENTATION [EPIC#38969]</t>
  </si>
  <si>
    <t>MedRec Status
SmartData Element</t>
  </si>
  <si>
    <t xml:space="preserve">Provider Complete
</t>
  </si>
  <si>
    <t>SmartData Element
Event</t>
  </si>
  <si>
    <t>CORE MEASURES - INTENTIONAL HYPOTHERMIA [EPIC#7870]
AN INTENTIONAL HYPOTHERMIA START [1120000093]</t>
  </si>
  <si>
    <t>Procedure</t>
  </si>
  <si>
    <t>Anesthesia Peripheral Nerve Block</t>
  </si>
  <si>
    <t>Temperature (6) and Anesthesia temperature (891)</t>
  </si>
  <si>
    <t>Flowsheet
SmartData Element</t>
  </si>
  <si>
    <t>R AN BETA BLOCKER ADMINSITERED (1120100130) or
WORKFLOW - QUALITY MEASUREMENT - EXCLUSION REASONS - BETA-BLOCKER THERAPY NOT PRESCRIBED FOR MEDICAL REASONS [EPIC#3143]</t>
  </si>
  <si>
    <t>ERX GENERAL BETA BLOCKERS [2100000287]</t>
  </si>
  <si>
    <t>Family Hx</t>
  </si>
  <si>
    <t>PONV</t>
  </si>
  <si>
    <t>WORKFLOW - ANESTHESIA - POST PROCEDURE PAIN MANAGEMENT - PLAN FOR POSTOPERATIVE OPIOID USE [EPIC#47195]</t>
  </si>
  <si>
    <t>ERX PROPHYLACTIC PHARMACOLOGIC ANTIEMETIC ANTICHOLINERGIC [101635]</t>
  </si>
  <si>
    <t>ERX PROPHYLACTIC PHARMACOLOGIC ANTIEMETIC ANTIHISTAMINE [101634]</t>
  </si>
  <si>
    <t>ERX PHARMACOLOGIC ANTIEMETIC BUTYROPHENONES [101633]</t>
  </si>
  <si>
    <t>DM AN PROPHYLACTIC PHARMACOLOGIC ANTIEMETIC PHENYLETHYLAMINE</t>
  </si>
  <si>
    <t>ERX PROPHYLACTIC PHARMACOLOGIC ANTIEMETIC PHENOTHIAZINES [101631]</t>
  </si>
  <si>
    <t>Social History</t>
  </si>
  <si>
    <t>Tobacco Type</t>
  </si>
  <si>
    <t>R AN ANTIBIOTIC ADMINISTERED (1120100102)</t>
  </si>
  <si>
    <t>EDG CONCEPT HX PONV (100307)</t>
  </si>
  <si>
    <t>LDA Type</t>
  </si>
  <si>
    <t>Airway</t>
  </si>
  <si>
    <t>DIAGNOSES/PROBLEMS - GENERAL - ANESTHESIA COMPLICATION [EPIC#17575]</t>
  </si>
  <si>
    <t>AN CV BYPASS INITIATED [1120000006]</t>
  </si>
  <si>
    <t>AN DEEP HYPOTHERMIC CARDIAC ARREST START [1120000030]</t>
  </si>
  <si>
    <t>AN CARDIAC ARREST [1120000092]</t>
  </si>
  <si>
    <t>R PAIN SCORE 3040104280</t>
  </si>
  <si>
    <t>Grouper or SDE</t>
  </si>
  <si>
    <t>EDG CONCEPT PSYCHIATRY PROBLEMS [100279] or DIAGNOSES/PROBLEMS - PSYCHIATRIC - PSYCHIATRIC HISTORY [EPIC#HPI0298]</t>
  </si>
  <si>
    <t>AN ARTERIAL INJURY [1120000091]</t>
  </si>
  <si>
    <t>EDG CONCEPT CHRONIC PAIN</t>
  </si>
  <si>
    <t>Procedure or LDA Type</t>
  </si>
  <si>
    <t>ANESTHESIA CENTRAL LINE PLACEMENT [ANE147] or Central Venous Catheter</t>
  </si>
  <si>
    <t>ERX NARCOTICS[408004]</t>
  </si>
  <si>
    <t>WORKFLOW - PROCEDURAL - POST-PROCEDURE HANDOFF CHECKLIST COMPLETED [EPIC#20624]
AN HANDOFF TO RECEIVING NURSE [1120000046]</t>
  </si>
  <si>
    <r>
      <rPr>
        <u/>
        <sz val="9"/>
        <color theme="1"/>
        <rFont val="Calibri"/>
        <family val="2"/>
        <scheme val="minor"/>
      </rPr>
      <t xml:space="preserve">Rule Settings:
</t>
    </r>
    <r>
      <rPr>
        <sz val="9"/>
        <color theme="1"/>
        <rFont val="Calibri"/>
        <family val="2"/>
        <scheme val="minor"/>
      </rPr>
      <t xml:space="preserve">Start Timing Event: Anesthesia Start
End Timing Event: Anesthesia Induction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</si>
  <si>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Case Timing Event: Anesthesia Sign-off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</si>
  <si>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System Settings: </t>
    </r>
    <r>
      <rPr>
        <sz val="9"/>
        <color theme="1"/>
        <rFont val="Calibri"/>
        <family val="2"/>
        <scheme val="minor"/>
      </rPr>
      <t>Depends on Integrated Anesthesia PB</t>
    </r>
  </si>
  <si>
    <r>
      <rPr>
        <u/>
        <sz val="9"/>
        <color theme="1"/>
        <rFont val="Calibri"/>
        <family val="2"/>
        <scheme val="minor"/>
      </rPr>
      <t xml:space="preserve">System Settings: </t>
    </r>
    <r>
      <rPr>
        <sz val="9"/>
        <color theme="1"/>
        <rFont val="Calibri"/>
        <family val="2"/>
        <scheme val="minor"/>
      </rPr>
      <t>Depends on Integrated Anesthesia PB
I LSD 89340
Category list HCT 50005</t>
    </r>
  </si>
  <si>
    <r>
      <rPr>
        <u/>
        <sz val="9"/>
        <color theme="1"/>
        <rFont val="Calibri"/>
        <family val="2"/>
        <scheme val="minor"/>
      </rPr>
      <t xml:space="preserve">Rule Settings:
</t>
    </r>
    <r>
      <rPr>
        <sz val="9"/>
        <color theme="1"/>
        <rFont val="Calibri"/>
        <family val="2"/>
        <scheme val="minor"/>
      </rPr>
      <t xml:space="preserve">SmartData Element: EPIC#38969
SmartData Element Value: 1
Note Type: 24 - Anesthesia Preprocedure Evaluation
Start Timing Event: Anesthesia Start
Stop Timing Event: Anesthesia Stop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</si>
  <si>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SmartData Element: EPIC#15775
SmartData Element Value: 1
Note Type: 24 - Anesthesia Preprocedure Evaluation
</t>
    </r>
    <r>
      <rPr>
        <u/>
        <sz val="9"/>
        <color theme="1"/>
        <rFont val="Calibri"/>
        <family val="2"/>
        <scheme val="minor"/>
      </rPr>
      <t>System Settings:</t>
    </r>
    <r>
      <rPr>
        <sz val="9"/>
        <color theme="1"/>
        <rFont val="Calibri"/>
        <family val="2"/>
        <scheme val="minor"/>
      </rPr>
      <t xml:space="preserve">
I IEV 1500</t>
    </r>
  </si>
  <si>
    <r>
      <rPr>
        <u/>
        <sz val="9"/>
        <color theme="1"/>
        <rFont val="Calibri"/>
        <family val="2"/>
        <scheme val="minor"/>
      </rPr>
      <t xml:space="preserve">Rule Settings:
</t>
    </r>
    <r>
      <rPr>
        <sz val="9"/>
        <color theme="1"/>
        <rFont val="Calibri"/>
        <family val="2"/>
        <scheme val="minor"/>
      </rPr>
      <t xml:space="preserve">SmartData Element: EPIC#7870
SmartData Element Value: 1
Note Type: 24 - Anesthesia Preprocedure Evaluation
Start Timing Event: Anesthesia Start
Stop Timing Event: Anesthesia Stop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</si>
  <si>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Note Type: 28 - Anesthesia Procedure Notes
</t>
    </r>
    <r>
      <rPr>
        <u/>
        <sz val="9"/>
        <color theme="1"/>
        <rFont val="Calibri"/>
        <family val="2"/>
        <scheme val="minor"/>
      </rPr>
      <t>System Settings:</t>
    </r>
    <r>
      <rPr>
        <sz val="9"/>
        <color theme="1"/>
        <rFont val="Calibri"/>
        <family val="2"/>
        <scheme val="minor"/>
      </rPr>
      <t xml:space="preserve">
Category list FLO 8040</t>
    </r>
  </si>
  <si>
    <r>
      <rPr>
        <u/>
        <sz val="9"/>
        <color theme="1"/>
        <rFont val="Calibri"/>
        <family val="2"/>
        <scheme val="minor"/>
      </rPr>
      <t xml:space="preserve">Rule Settings:
</t>
    </r>
    <r>
      <rPr>
        <sz val="9"/>
        <color theme="1"/>
        <rFont val="Calibri"/>
        <family val="2"/>
        <scheme val="minor"/>
      </rPr>
      <t xml:space="preserve">Case Timing Event: Anesthesia Stop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</si>
  <si>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SmartData Element: EPIC#3143
SmartData Element Value: 1
Note Type: 28 - Anesthesia Procedure Notes
Start Timing Event: Anesthesia Start
Stop Timing Event: Anesthesia Stop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</si>
  <si>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Case Timing Event: Procedure Start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</si>
  <si>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System Settings: </t>
    </r>
    <r>
      <rPr>
        <sz val="9"/>
        <color theme="1"/>
        <rFont val="Calibri"/>
        <family val="2"/>
        <scheme val="minor"/>
      </rPr>
      <t>Depends on Integrated Anesthesia PB
I HCT 50000</t>
    </r>
  </si>
  <si>
    <r>
      <rPr>
        <u/>
        <sz val="9"/>
        <color theme="1"/>
        <rFont val="Calibri"/>
        <family val="2"/>
        <scheme val="minor"/>
      </rPr>
      <t xml:space="preserve">System Settings: </t>
    </r>
    <r>
      <rPr>
        <sz val="9"/>
        <color theme="1"/>
        <rFont val="Calibri"/>
        <family val="2"/>
        <scheme val="minor"/>
      </rPr>
      <t>Depends on Integrated Anesthesia PB
I LSD 89320</t>
    </r>
  </si>
  <si>
    <r>
      <rPr>
        <u/>
        <sz val="9"/>
        <color theme="1"/>
        <rFont val="Calibri"/>
        <family val="2"/>
        <scheme val="minor"/>
      </rPr>
      <t xml:space="preserve">Rule Settings:
</t>
    </r>
    <r>
      <rPr>
        <sz val="9"/>
        <color theme="1"/>
        <rFont val="Calibri"/>
        <family val="2"/>
        <scheme val="minor"/>
      </rPr>
      <t xml:space="preserve">Case Timing Event: In Phase II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</si>
  <si>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Case Timing Event: In Recovery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</si>
  <si>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Case Timing Event: Procedure End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</si>
  <si>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Note Type: 24 - Anesthesia Preprocedure Evaluation
</t>
    </r>
    <r>
      <rPr>
        <u/>
        <sz val="9"/>
        <color theme="1"/>
        <rFont val="Calibri"/>
        <family val="2"/>
        <scheme val="minor"/>
      </rPr>
      <t>System Settings:</t>
    </r>
    <r>
      <rPr>
        <sz val="9"/>
        <color theme="1"/>
        <rFont val="Calibri"/>
        <family val="2"/>
        <scheme val="minor"/>
      </rPr>
      <t xml:space="preserve">
OpTime System/Location Definitions - Timing Events
I LSD 89220</t>
    </r>
  </si>
  <si>
    <r>
      <rPr>
        <u/>
        <sz val="9"/>
        <color theme="1"/>
        <rFont val="Calibri"/>
        <family val="2"/>
        <scheme val="minor"/>
      </rPr>
      <t>Rule Settings:</t>
    </r>
    <r>
      <rPr>
        <sz val="9"/>
        <color theme="1"/>
        <rFont val="Calibri"/>
        <family val="2"/>
        <scheme val="minor"/>
      </rPr>
      <t xml:space="preserve">
Family Relationship: Brother, Sister, Father, Mother
Case Timing Event: Anesthesia Sign-off
</t>
    </r>
    <r>
      <rPr>
        <u/>
        <sz val="9"/>
        <color theme="1"/>
        <rFont val="Calibri"/>
        <family val="2"/>
        <scheme val="minor"/>
      </rPr>
      <t>System Settings:</t>
    </r>
    <r>
      <rPr>
        <sz val="9"/>
        <color theme="1"/>
        <rFont val="Calibri"/>
        <family val="2"/>
        <scheme val="minor"/>
      </rPr>
      <t xml:space="preserve">
OpTime System/Location Definitions - Timing Events
Category List EPT 19360</t>
    </r>
  </si>
  <si>
    <r>
      <rPr>
        <u/>
        <sz val="9"/>
        <color theme="1"/>
        <rFont val="Calibri"/>
        <family val="2"/>
        <scheme val="minor"/>
      </rPr>
      <t xml:space="preserve">Rule Settings:
</t>
    </r>
    <r>
      <rPr>
        <sz val="9"/>
        <color theme="1"/>
        <rFont val="Calibri"/>
        <family val="2"/>
        <scheme val="minor"/>
      </rPr>
      <t xml:space="preserve">SmartData Element: EPIC#47195
SmartData Element Value: 1
Note Type: 25 - Anesthesia Postprocedure Evaluation
Start Timing Event: Anesthesia Start
Stop Timing Event: In Facility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</si>
  <si>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Start Timing Event: In Preprocedure
End Timing Event: Out of Room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</si>
  <si>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Case Timing Event: Anesthesia Start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</si>
  <si>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Start Timing Event: In Facility
Stop Timing Event: Anesthesia Stop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</si>
  <si>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Case Timing Event: In Room
Case Timing Event: Out of Room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</si>
  <si>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 xml:space="preserve">Rule Settings:
</t>
    </r>
    <r>
      <rPr>
        <sz val="9"/>
        <color theme="1"/>
        <rFont val="Calibri"/>
        <family val="2"/>
        <scheme val="minor"/>
      </rPr>
      <t xml:space="preserve">Start Timing Event: Anesthesia Start
End Timing Event: Anesthesia Stop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</si>
  <si>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Rule Settings:</t>
    </r>
    <r>
      <rPr>
        <sz val="9"/>
        <color theme="1"/>
        <rFont val="Calibri"/>
        <family val="2"/>
        <scheme val="minor"/>
      </rPr>
      <t xml:space="preserve">
Note Type : 24 - Anesthesia Preprocedure Evaluation
</t>
    </r>
    <r>
      <rPr>
        <u/>
        <sz val="9"/>
        <color theme="1"/>
        <rFont val="Calibri"/>
        <family val="2"/>
        <scheme val="minor"/>
      </rPr>
      <t>System Settings:</t>
    </r>
    <r>
      <rPr>
        <sz val="9"/>
        <color theme="1"/>
        <rFont val="Calibri"/>
        <family val="2"/>
        <scheme val="minor"/>
      </rPr>
      <t xml:space="preserve">
I LSD 89215</t>
    </r>
  </si>
  <si>
    <r>
      <rPr>
        <u/>
        <sz val="9"/>
        <color theme="1"/>
        <rFont val="Calibri"/>
        <family val="2"/>
        <scheme val="minor"/>
      </rPr>
      <t xml:space="preserve">Rule Settings:
</t>
    </r>
    <r>
      <rPr>
        <sz val="9"/>
        <color theme="1"/>
        <rFont val="Calibri"/>
        <family val="2"/>
        <scheme val="minor"/>
      </rPr>
      <t xml:space="preserve">Note Type : 24 - Anesthesia Preprocedure Evaluation
</t>
    </r>
    <r>
      <rPr>
        <u/>
        <sz val="9"/>
        <color theme="1"/>
        <rFont val="Calibri"/>
        <family val="2"/>
        <scheme val="minor"/>
      </rPr>
      <t>System Settings:</t>
    </r>
    <r>
      <rPr>
        <sz val="9"/>
        <color theme="1"/>
        <rFont val="Calibri"/>
        <family val="2"/>
        <scheme val="minor"/>
      </rPr>
      <t xml:space="preserve">
I LSD 89210</t>
    </r>
  </si>
  <si>
    <r>
      <rPr>
        <u/>
        <sz val="9"/>
        <color theme="1"/>
        <rFont val="Calibri"/>
        <family val="2"/>
        <scheme val="minor"/>
      </rPr>
      <t>Rule Settings:</t>
    </r>
    <r>
      <rPr>
        <sz val="9"/>
        <color theme="1"/>
        <rFont val="Calibri"/>
        <family val="2"/>
        <scheme val="minor"/>
      </rPr>
      <t xml:space="preserve">
Lookback Hours:1
Buffer minutes:10
</t>
    </r>
    <r>
      <rPr>
        <u/>
        <sz val="9"/>
        <color theme="1"/>
        <rFont val="Calibri"/>
        <family val="2"/>
        <scheme val="minor"/>
      </rPr>
      <t>System Settings:</t>
    </r>
    <r>
      <rPr>
        <sz val="9"/>
        <color theme="1"/>
        <rFont val="Calibri"/>
        <family val="2"/>
        <scheme val="minor"/>
      </rPr>
      <t xml:space="preserve">
OpTime System/Location Definitions - Timing Events
Category list FLO 8040</t>
    </r>
  </si>
  <si>
    <r>
      <rPr>
        <u/>
        <sz val="9"/>
        <color theme="1"/>
        <rFont val="Calibri"/>
        <family val="2"/>
        <scheme val="minor"/>
      </rPr>
      <t>Rule Settings:</t>
    </r>
    <r>
      <rPr>
        <sz val="9"/>
        <color theme="1"/>
        <rFont val="Calibri"/>
        <family val="2"/>
        <scheme val="minor"/>
      </rPr>
      <t xml:space="preserve">
Code set: ICD-10-CM</t>
    </r>
  </si>
  <si>
    <r>
      <rPr>
        <u/>
        <sz val="9"/>
        <color theme="1"/>
        <rFont val="Calibri"/>
        <family val="2"/>
        <scheme val="minor"/>
      </rPr>
      <t xml:space="preserve">System Settings:
</t>
    </r>
    <r>
      <rPr>
        <sz val="9"/>
        <color theme="1"/>
        <rFont val="Calibri"/>
        <family val="2"/>
        <scheme val="minor"/>
      </rPr>
      <t>Category list FLO 8040</t>
    </r>
  </si>
  <si>
    <r>
      <rPr>
        <u/>
        <sz val="9"/>
        <color theme="1"/>
        <rFont val="Calibri"/>
        <family val="2"/>
        <scheme val="minor"/>
      </rPr>
      <t>Rule Settings:</t>
    </r>
    <r>
      <rPr>
        <sz val="9"/>
        <color theme="1"/>
        <rFont val="Calibri"/>
        <family val="2"/>
        <scheme val="minor"/>
      </rPr>
      <t xml:space="preserve">
Lookahead hours: 1
Case Timing Event: Out of Room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</si>
  <si>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Rule Settings:</t>
    </r>
    <r>
      <rPr>
        <sz val="9"/>
        <color theme="1"/>
        <rFont val="Calibri"/>
        <family val="2"/>
        <scheme val="minor"/>
      </rPr>
      <t xml:space="preserve">
SmartData Element: EPIC#17575
SmartData Element Value: 1
Note Type: 25 - Anesthesia Postprocedure Evaluation</t>
    </r>
  </si>
  <si>
    <r>
      <rPr>
        <u/>
        <sz val="9"/>
        <color theme="1"/>
        <rFont val="Calibri"/>
        <family val="2"/>
        <scheme val="minor"/>
      </rPr>
      <t>Rule Settings:</t>
    </r>
    <r>
      <rPr>
        <sz val="9"/>
        <color theme="1"/>
        <rFont val="Calibri"/>
        <family val="2"/>
        <scheme val="minor"/>
      </rPr>
      <t xml:space="preserve">
SmartData Element for positive: EPIC#HPI0298
SmartData Element Value for positive:1
SmartData Element for pertinent negative: EPIC#HPI0298
SmartData Element Value for pertinent negative: 0
Note Type: 24 - Anesthesia Preprocedure Evaluation
</t>
    </r>
    <r>
      <rPr>
        <u/>
        <sz val="11"/>
        <color theme="1"/>
        <rFont val="Calibri"/>
        <family val="2"/>
        <scheme val="minor"/>
      </rPr>
      <t/>
    </r>
  </si>
  <si>
    <r>
      <rPr>
        <u/>
        <sz val="9"/>
        <color theme="1"/>
        <rFont val="Calibri"/>
        <family val="2"/>
        <scheme val="minor"/>
      </rPr>
      <t>Rule Settings:</t>
    </r>
    <r>
      <rPr>
        <sz val="9"/>
        <color theme="1"/>
        <rFont val="Calibri"/>
        <family val="2"/>
        <scheme val="minor"/>
      </rPr>
      <t xml:space="preserve">
Note Type: 28 - Anesthesia Procedure Notes
</t>
    </r>
    <r>
      <rPr>
        <u/>
        <sz val="11"/>
        <color theme="1"/>
        <rFont val="Calibri"/>
        <family val="2"/>
        <scheme val="minor"/>
      </rPr>
      <t/>
    </r>
  </si>
  <si>
    <r>
      <rPr>
        <u/>
        <sz val="9"/>
        <color theme="1"/>
        <rFont val="Calibri"/>
        <family val="2"/>
        <scheme val="minor"/>
      </rPr>
      <t>Rule Settings:</t>
    </r>
    <r>
      <rPr>
        <sz val="9"/>
        <color theme="1"/>
        <rFont val="Calibri"/>
        <family val="2"/>
        <scheme val="minor"/>
      </rPr>
      <t xml:space="preserve">
Case Timing Event: Anesthesia Sign-off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</si>
  <si>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Rule Settings:</t>
    </r>
    <r>
      <rPr>
        <sz val="9"/>
        <color theme="1"/>
        <rFont val="Calibri"/>
        <family val="2"/>
        <scheme val="minor"/>
      </rPr>
      <t xml:space="preserve">
Note Type: 28 - Anesthesia Procedure Notes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</si>
  <si>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Rule Settings:</t>
    </r>
    <r>
      <rPr>
        <sz val="9"/>
        <color theme="1"/>
        <rFont val="Calibri"/>
        <family val="2"/>
        <scheme val="minor"/>
      </rPr>
      <t xml:space="preserve">
Case Timing Event: Anesthesia Start
Lookback Days: 1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</si>
  <si>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Rule Settings:</t>
    </r>
    <r>
      <rPr>
        <sz val="9"/>
        <color theme="1"/>
        <rFont val="Calibri"/>
        <family val="2"/>
        <scheme val="minor"/>
      </rPr>
      <t xml:space="preserve">
Case Timing Event: Out of Phase II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</si>
  <si>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Rule Settings:</t>
    </r>
    <r>
      <rPr>
        <sz val="9"/>
        <color theme="1"/>
        <rFont val="Calibri"/>
        <family val="2"/>
        <scheme val="minor"/>
      </rPr>
      <t xml:space="preserve">
Case Timing Event: Out of Recovery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</si>
  <si>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Rule Settings:</t>
    </r>
    <r>
      <rPr>
        <sz val="9"/>
        <color theme="1"/>
        <rFont val="Calibri"/>
        <family val="2"/>
        <scheme val="minor"/>
      </rPr>
      <t xml:space="preserve">
Case Timing Event: Out of Room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</si>
  <si>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System Settings:</t>
    </r>
    <r>
      <rPr>
        <sz val="9"/>
        <color theme="1"/>
        <rFont val="Calibri"/>
        <family val="2"/>
        <scheme val="minor"/>
      </rPr>
      <t xml:space="preserve">
I HDF 3101</t>
    </r>
  </si>
  <si>
    <r>
      <rPr>
        <u/>
        <sz val="9"/>
        <color theme="1"/>
        <rFont val="Calibri"/>
        <family val="2"/>
        <scheme val="minor"/>
      </rPr>
      <t>Rule Settings:</t>
    </r>
    <r>
      <rPr>
        <sz val="9"/>
        <color theme="1"/>
        <rFont val="Calibri"/>
        <family val="2"/>
        <scheme val="minor"/>
      </rPr>
      <t xml:space="preserve">
Case Timing Event: Patient in Room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</si>
  <si>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Rule Settings:</t>
    </r>
    <r>
      <rPr>
        <sz val="9"/>
        <color theme="1"/>
        <rFont val="Calibri"/>
        <family val="2"/>
        <scheme val="minor"/>
      </rPr>
      <t xml:space="preserve">
Case Timing Event: Anesthesia Stop
</t>
    </r>
    <r>
      <rPr>
        <u/>
        <sz val="9"/>
        <color theme="1"/>
        <rFont val="Calibri"/>
        <family val="2"/>
        <scheme val="minor"/>
      </rPr>
      <t>System Settings:</t>
    </r>
    <r>
      <rPr>
        <sz val="9"/>
        <color theme="1"/>
        <rFont val="Calibri"/>
        <family val="2"/>
        <scheme val="minor"/>
      </rPr>
      <t xml:space="preserve">
OpTime System/Location Definitions - Timing Events</t>
    </r>
  </si>
  <si>
    <r>
      <rPr>
        <u/>
        <sz val="9"/>
        <color theme="1"/>
        <rFont val="Calibri"/>
        <family val="2"/>
        <scheme val="minor"/>
      </rPr>
      <t>Rule Settings:</t>
    </r>
    <r>
      <rPr>
        <sz val="9"/>
        <color theme="1"/>
        <rFont val="Calibri"/>
        <family val="2"/>
        <scheme val="minor"/>
      </rPr>
      <t xml:space="preserve">
Case Timing Event: Anesthesia Start
</t>
    </r>
    <r>
      <rPr>
        <u/>
        <sz val="9"/>
        <color theme="1"/>
        <rFont val="Calibri"/>
        <family val="2"/>
        <scheme val="minor"/>
      </rPr>
      <t xml:space="preserve">System Settings: </t>
    </r>
    <r>
      <rPr>
        <sz val="9"/>
        <color theme="1"/>
        <rFont val="Calibri"/>
        <family val="2"/>
        <scheme val="minor"/>
      </rPr>
      <t xml:space="preserve">
OpTime System/Location Definitions - Timing Events</t>
    </r>
  </si>
  <si>
    <r>
      <rPr>
        <u/>
        <sz val="9"/>
        <color theme="1"/>
        <rFont val="Calibri"/>
        <family val="2"/>
        <scheme val="minor"/>
      </rPr>
      <t xml:space="preserve">System Settings: </t>
    </r>
    <r>
      <rPr>
        <sz val="9"/>
        <color theme="1"/>
        <rFont val="Calibri"/>
        <family val="2"/>
        <scheme val="minor"/>
      </rPr>
      <t xml:space="preserve">
I LSD 89400</t>
    </r>
  </si>
  <si>
    <r>
      <rPr>
        <u/>
        <sz val="9"/>
        <color theme="1"/>
        <rFont val="Calibri"/>
        <family val="2"/>
        <scheme val="minor"/>
      </rPr>
      <t>Rule Settings:</t>
    </r>
    <r>
      <rPr>
        <sz val="9"/>
        <color theme="1"/>
        <rFont val="Calibri"/>
        <family val="2"/>
        <scheme val="minor"/>
      </rPr>
      <t xml:space="preserve">
SmartData Element: EPIC#20624
SmartData Element Value: 1
Note Type: 25 - Anesthesia Postprocedure Evaluation</t>
    </r>
  </si>
  <si>
    <t>This document contains the following sections, each on a separate tab:</t>
  </si>
  <si>
    <t>Available in Epic 2015</t>
  </si>
  <si>
    <t>Available in Epic 2014</t>
  </si>
  <si>
    <t>Available in Epic 2012</t>
  </si>
  <si>
    <t>SUs Required</t>
  </si>
  <si>
    <t>Epic 2012: SU In Progress
Epic 2014: E8129798
Epic 2015: Release</t>
  </si>
  <si>
    <t>Epic 2012: SU In Progress
Epic 2014: E8129855
Epic 2015: Release</t>
  </si>
  <si>
    <t>Epic 2012: SU In Progress
Epic 2014: E8127925
Epic 2015: Release</t>
  </si>
  <si>
    <t xml:space="preserve">Epic 2012: SU In Progress
Epic 2014: E8127925
Epic 2015: Release
</t>
  </si>
  <si>
    <t>Antiemetic Antihistamine Administered</t>
  </si>
  <si>
    <t>Antiemetic Phenylethylamine Administered</t>
  </si>
  <si>
    <t>The Anesthesia Registry Metrics Data Dictionary takes a look at the released metrics available in the Anesthesia Record Registry. Metrics are created and configured with the rule infrastructure and some of the released metrics need to be configured by you to match how documentation is collected at your organization. This document breaks down the available metrics in the Registry Editor for registry record 89000-Anesthesia Record Registry. 
Your workflows can document the metric data using events, flowsheets, SmartData elements, groupers, procedures, LDAs, or a combination of these. Based on an analysis of how your workflows document metric data, you can configure and validate that your metrics to look to the appropriate sources.</t>
  </si>
  <si>
    <t>1. Confirm that Macros are enabled.</t>
  </si>
  <si>
    <t xml:space="preserve">2. On the first line of the spreadsheet, indicate the form of Anesthesia Billing used at your organization. This step helps identify the specific metrics you need to report on for specific AQI measures. </t>
  </si>
  <si>
    <t>To use the Measures and Benchmarks tab:</t>
  </si>
  <si>
    <t xml:space="preserve">3. As each metric in the Remaining Configuration/Validation Column is marked as ready on the Metric Details tab, the Ready? Column on this tab turns green to indicate as such. </t>
  </si>
  <si>
    <r>
      <t>You can use this tab to track the build related to the measures you need to configure and validate at your organization.</t>
    </r>
    <r>
      <rPr>
        <sz val="11"/>
        <color rgb="FFFF0000"/>
        <rFont val="Calibri"/>
        <family val="2"/>
        <scheme val="minor"/>
      </rPr>
      <t xml:space="preserve"> </t>
    </r>
    <r>
      <rPr>
        <u/>
        <sz val="11"/>
        <color rgb="FFFF0000"/>
        <rFont val="Calibri"/>
        <family val="2"/>
        <scheme val="minor"/>
      </rPr>
      <t>Once you document your records in the IDs column, the metric is considered ready.</t>
    </r>
    <r>
      <rPr>
        <sz val="11"/>
        <color theme="1"/>
        <rFont val="Calibri"/>
        <family val="2"/>
        <scheme val="minor"/>
      </rPr>
      <t xml:space="preserve"> This turns the Action Required column green, and it removes the metric from the Remaining Configuration/Validation column on the Measures and Benchmarks tab. </t>
    </r>
  </si>
  <si>
    <t xml:space="preserve">Note that the Action Required column indicates the level of configuration a metric requires. </t>
  </si>
  <si>
    <t>No Configuration: This metric looks to specific documentation in the system and there are no settings you can configure to change the output. Refer to the Setup Details column for additional information.</t>
  </si>
  <si>
    <t xml:space="preserve">Configure and Validate: These metrics require additional information regarding how your organization documents specific data. If some data can be collected from system settings, these are discussed in the Validate Defaults column. If only one piece of additional information is needed, the Configuration column shows the type of record required. If there are multiple ways to satisfy the required documentation, the Configuration column contains a dropdown list of the available forms. </t>
  </si>
  <si>
    <t xml:space="preserve">Validate: Based on your system-wide settings, these metrics are expected to return valid results. The Validate Defaults column specifies the settings that the metric uses. Confirm that your organization has these settings configured as expected for the metric to reflect data appropriately. </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</si>
</sst>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name val="Trebuchet MS"/>
      <family val="2"/>
    </font>
    <font>
      <b/>
      <sz val="11"/>
      <name val="Trebuchet MS"/>
      <family val="2"/>
    </font>
    <font>
      <b/>
      <sz val="11"/>
      <color theme="1"/>
      <name val="Trebuchet MS"/>
      <family val="2"/>
    </font>
    <font>
      <u/>
      <sz val="11"/>
      <color theme="10"/>
      <name val="Calibri"/>
      <family val="2"/>
      <scheme val="minor"/>
    </font>
    <font>
      <sz val="8"/>
      <color theme="1"/>
      <name val="Calibri"/>
      <family val="2"/>
      <scheme val="minor"/>
    </font>
    <font>
      <u/>
      <sz val="11"/>
      <color theme="1"/>
      <name val="Calibri"/>
      <family val="2"/>
      <scheme val="minor"/>
    </font>
    <font>
      <b/>
      <sz val="11"/>
      <color theme="1"/>
      <name val="Calibri"/>
      <family val="2"/>
      <scheme val="minor"/>
    </font>
    <font>
      <sz val="11"/>
      <color theme="1"/>
      <name val="Calibri"/>
      <family val="2"/>
      <scheme val="minor"/>
    </font>
    <font>
      <sz val="18"/>
      <color theme="1"/>
      <name val="Calibri"/>
      <family val="2"/>
      <scheme val="minor"/>
    </font>
    <font>
      <b/>
      <sz val="18"/>
      <color rgb="FF000080"/>
      <name val="Calibri"/>
      <family val="2"/>
      <scheme val="minor"/>
    </font>
    <font>
      <sz val="28"/>
      <color theme="1"/>
      <name val="Calibri"/>
      <family val="2"/>
      <scheme val="minor"/>
    </font>
    <font>
      <b/>
      <i/>
      <sz val="28"/>
      <color theme="1"/>
      <name val="Calibri"/>
      <family val="2"/>
      <scheme val="minor"/>
    </font>
    <font>
      <b/>
      <sz val="18"/>
      <color theme="1"/>
      <name val="Calibri"/>
      <family val="2"/>
      <scheme val="minor"/>
    </font>
    <font>
      <b/>
      <sz val="14"/>
      <color rgb="FF000080"/>
      <name val="Calibri"/>
      <family val="2"/>
      <scheme val="minor"/>
    </font>
    <font>
      <sz val="14"/>
      <color theme="1"/>
      <name val="Calibri"/>
      <family val="2"/>
      <scheme val="minor"/>
    </font>
    <font>
      <sz val="11"/>
      <color theme="1"/>
      <name val="Times New Roman"/>
      <family val="1"/>
    </font>
    <font>
      <sz val="11"/>
      <color rgb="FF000000"/>
      <name val="Calibri"/>
      <family val="2"/>
    </font>
    <font>
      <sz val="11"/>
      <color rgb="FFFF0000"/>
      <name val="Calibri"/>
      <family val="2"/>
      <scheme val="minor"/>
    </font>
    <font>
      <u/>
      <sz val="11"/>
      <color rgb="FFFF0000"/>
      <name val="Calibri"/>
      <family val="2"/>
      <scheme val="minor"/>
    </font>
    <font>
      <sz val="11"/>
      <color theme="0"/>
      <name val="Calibri"/>
      <family val="2"/>
      <scheme val="minor"/>
    </font>
    <font>
      <sz val="9"/>
      <color theme="1"/>
      <name val="Calibri"/>
      <family val="2"/>
      <scheme val="minor"/>
    </font>
    <font>
      <u/>
      <sz val="9"/>
      <color theme="1"/>
      <name val="Calibri"/>
      <family val="2"/>
      <scheme val="minor"/>
    </font>
    <font>
      <sz val="11"/>
      <name val="Calibri"/>
      <family val="2"/>
      <scheme val="minor"/>
    </font>
  </fonts>
  <fills count="10">
    <fill>
      <patternFill patternType="none"/>
    </fill>
    <fill>
      <patternFill patternType="gray125"/>
    </fill>
    <fill>
      <patternFill patternType="solid">
        <fgColor rgb="FFD7E4BC"/>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rgb="FFFFFFFF"/>
        <bgColor indexed="64"/>
      </patternFill>
    </fill>
    <fill>
      <patternFill patternType="solid">
        <fgColor theme="4"/>
      </patternFill>
    </fill>
    <fill>
      <patternFill patternType="solid">
        <fgColor rgb="FFC6E0B4"/>
        <bgColor indexed="64"/>
      </patternFill>
    </fill>
    <fill>
      <patternFill patternType="solid">
        <fgColor rgb="FFF4B084"/>
        <bgColor indexed="64"/>
      </patternFill>
    </fill>
    <fill>
      <patternFill patternType="solid">
        <fgColor rgb="FFFFE699"/>
        <bgColor indexed="64"/>
      </patternFill>
    </fill>
  </fills>
  <borders count="4">
    <border>
      <left/>
      <right/>
      <top/>
      <bottom/>
      <diagonal/>
    </border>
    <border>
      <left/>
      <right/>
      <top style="thin">
        <color auto="1"/>
      </top>
      <bottom style="thin">
        <color auto="1"/>
      </bottom>
      <diagonal/>
    </border>
    <border>
      <left style="medium">
        <color auto="1"/>
      </left>
      <right/>
      <top/>
      <bottom/>
      <diagonal/>
    </border>
    <border>
      <left style="thick">
        <color auto="1"/>
      </left>
      <right style="thick">
        <color auto="1"/>
      </right>
      <top style="thick">
        <color auto="1"/>
      </top>
      <bottom style="thick">
        <color auto="1"/>
      </bottom>
      <diagonal/>
    </border>
  </borders>
  <cellStyleXfs count="6">
    <xf numFmtId="0" fontId="0" fillId="0" borderId="0"/>
    <xf numFmtId="0" fontId="1" fillId="2" borderId="0" applyNumberFormat="0" applyBorder="0" applyProtection="0"/>
    <xf numFmtId="0" fontId="4" fillId="0" borderId="0" applyNumberFormat="0" applyFill="0" applyBorder="0" applyAlignment="0" applyProtection="0"/>
    <xf numFmtId="0" fontId="8" fillId="0" borderId="0"/>
    <xf numFmtId="0" fontId="8" fillId="5" borderId="0"/>
    <xf numFmtId="0" fontId="20" fillId="6" borderId="0" applyNumberFormat="0" applyBorder="0" applyAlignment="0" applyProtection="0"/>
  </cellStyleXfs>
  <cellXfs count="55">
    <xf numFmtId="0" fontId="0" fillId="0" borderId="0" xfId="0"/>
    <xf numFmtId="0" fontId="2" fillId="3" borderId="0" xfId="1" applyFont="1" applyFill="1" applyAlignment="1"/>
    <xf numFmtId="0" fontId="3" fillId="3" borderId="0" xfId="0" applyFont="1" applyFill="1" applyAlignment="1">
      <alignment horizontal="left" textRotation="90" wrapText="1"/>
    </xf>
    <xf numFmtId="0" fontId="0" fillId="0" borderId="0" xfId="0" applyAlignment="1">
      <alignment wrapText="1"/>
    </xf>
    <xf numFmtId="0" fontId="2" fillId="3" borderId="0" xfId="1" applyFont="1" applyFill="1" applyAlignment="1">
      <alignment wrapText="1"/>
    </xf>
    <xf numFmtId="0" fontId="5" fillId="0" borderId="0" xfId="0" applyFont="1" applyAlignment="1">
      <alignment wrapText="1"/>
    </xf>
    <xf numFmtId="0" fontId="9" fillId="0" borderId="0" xfId="0" applyFont="1" applyBorder="1"/>
    <xf numFmtId="0" fontId="10" fillId="0" borderId="0" xfId="0" applyFont="1" applyBorder="1"/>
    <xf numFmtId="0" fontId="11" fillId="0" borderId="0" xfId="0" applyFont="1" applyBorder="1"/>
    <xf numFmtId="0" fontId="12" fillId="0" borderId="0" xfId="0" applyFont="1" applyBorder="1"/>
    <xf numFmtId="0" fontId="8" fillId="0" borderId="0" xfId="0" applyFont="1" applyBorder="1"/>
    <xf numFmtId="14" fontId="8" fillId="0" borderId="0" xfId="0" applyNumberFormat="1" applyFont="1" applyBorder="1" applyAlignment="1">
      <alignment horizontal="left"/>
    </xf>
    <xf numFmtId="14" fontId="8" fillId="0" borderId="0" xfId="0" applyNumberFormat="1" applyFont="1" applyBorder="1"/>
    <xf numFmtId="0" fontId="9" fillId="0" borderId="2" xfId="0" applyFont="1" applyBorder="1"/>
    <xf numFmtId="0" fontId="11" fillId="0" borderId="2" xfId="0" applyFont="1" applyBorder="1"/>
    <xf numFmtId="0" fontId="8" fillId="0" borderId="2" xfId="0" applyFont="1" applyBorder="1"/>
    <xf numFmtId="0" fontId="8" fillId="0" borderId="0" xfId="0" applyFont="1" applyAlignment="1">
      <alignment vertical="center" wrapText="1"/>
    </xf>
    <xf numFmtId="0" fontId="0" fillId="0" borderId="0" xfId="0" applyFont="1" applyBorder="1"/>
    <xf numFmtId="0" fontId="0" fillId="0" borderId="0" xfId="0" applyFont="1" applyFill="1" applyAlignment="1">
      <alignment horizontal="left" vertical="center" indent="1"/>
    </xf>
    <xf numFmtId="0" fontId="0" fillId="0" borderId="0" xfId="0" applyFont="1" applyFill="1" applyBorder="1"/>
    <xf numFmtId="0" fontId="13" fillId="4" borderId="0" xfId="0" applyFont="1" applyFill="1" applyAlignment="1">
      <alignment vertical="center" wrapText="1"/>
    </xf>
    <xf numFmtId="0" fontId="14" fillId="0" borderId="0" xfId="0" applyFont="1" applyBorder="1"/>
    <xf numFmtId="0" fontId="15" fillId="0" borderId="0" xfId="0" applyFont="1" applyBorder="1"/>
    <xf numFmtId="0" fontId="0" fillId="0" borderId="0" xfId="0" applyFont="1" applyAlignment="1">
      <alignment vertical="center" wrapText="1"/>
    </xf>
    <xf numFmtId="0" fontId="0" fillId="0" borderId="0" xfId="0" applyFont="1" applyAlignment="1">
      <alignment horizontal="left" vertical="center" wrapText="1" indent="1"/>
    </xf>
    <xf numFmtId="0" fontId="0" fillId="0" borderId="0" xfId="0" applyFont="1" applyFill="1" applyBorder="1" applyAlignment="1">
      <alignment wrapText="1"/>
    </xf>
    <xf numFmtId="0" fontId="4" fillId="0" borderId="0" xfId="2" applyAlignment="1">
      <alignment horizontal="left" indent="1"/>
    </xf>
    <xf numFmtId="0" fontId="0" fillId="0" borderId="0" xfId="0" applyFont="1" applyAlignment="1">
      <alignment vertical="center"/>
    </xf>
    <xf numFmtId="0" fontId="0" fillId="8" borderId="0" xfId="0" applyFont="1" applyFill="1" applyBorder="1" applyAlignment="1">
      <alignment wrapText="1"/>
    </xf>
    <xf numFmtId="0" fontId="0" fillId="9" borderId="0" xfId="0" applyFont="1" applyFill="1" applyBorder="1" applyAlignment="1">
      <alignment wrapText="1"/>
    </xf>
    <xf numFmtId="0" fontId="0" fillId="0" borderId="1" xfId="0" applyBorder="1"/>
    <xf numFmtId="0" fontId="21" fillId="0" borderId="1" xfId="0" applyFont="1" applyBorder="1" applyAlignment="1">
      <alignment vertical="top" wrapText="1"/>
    </xf>
    <xf numFmtId="0" fontId="21" fillId="0" borderId="1" xfId="0" applyFont="1" applyFill="1" applyBorder="1" applyAlignment="1">
      <alignment vertical="top" wrapText="1"/>
    </xf>
    <xf numFmtId="0" fontId="21" fillId="0" borderId="1" xfId="0" applyFont="1" applyBorder="1" applyAlignment="1">
      <alignment vertical="top"/>
    </xf>
    <xf numFmtId="0" fontId="0" fillId="0" borderId="1" xfId="0" applyBorder="1" applyAlignment="1">
      <alignment vertical="top"/>
    </xf>
    <xf numFmtId="0" fontId="21" fillId="5" borderId="1" xfId="0" applyFont="1" applyFill="1" applyBorder="1" applyAlignment="1">
      <alignment vertical="top"/>
    </xf>
    <xf numFmtId="0" fontId="21" fillId="0" borderId="1" xfId="0" applyFont="1" applyFill="1" applyBorder="1" applyAlignment="1">
      <alignment vertical="top"/>
    </xf>
    <xf numFmtId="0" fontId="0" fillId="7" borderId="0" xfId="0" applyFill="1" applyAlignment="1">
      <alignment wrapText="1"/>
    </xf>
    <xf numFmtId="0" fontId="20" fillId="6" borderId="1" xfId="5" applyBorder="1" applyAlignment="1">
      <alignment vertical="top" wrapText="1"/>
    </xf>
    <xf numFmtId="0" fontId="20" fillId="6" borderId="1" xfId="5" applyBorder="1" applyAlignment="1">
      <alignment horizontal="left" vertical="top" textRotation="90" wrapText="1"/>
    </xf>
    <xf numFmtId="0" fontId="20" fillId="6" borderId="1" xfId="5" applyBorder="1"/>
    <xf numFmtId="0" fontId="0" fillId="0" borderId="0" xfId="0" applyAlignment="1" applyProtection="1">
      <alignment wrapText="1"/>
      <protection locked="0"/>
    </xf>
    <xf numFmtId="0" fontId="0" fillId="0" borderId="0" xfId="0" applyProtection="1">
      <protection locked="0"/>
    </xf>
    <xf numFmtId="0" fontId="0" fillId="0" borderId="3" xfId="0" applyBorder="1" applyProtection="1">
      <protection locked="0"/>
    </xf>
    <xf numFmtId="0" fontId="7" fillId="0" borderId="0" xfId="0" applyFont="1" applyAlignment="1" applyProtection="1">
      <alignment wrapText="1"/>
      <protection locked="0"/>
    </xf>
    <xf numFmtId="0" fontId="4" fillId="0" borderId="0" xfId="2" applyAlignment="1" applyProtection="1">
      <alignment wrapText="1"/>
      <protection locked="0"/>
    </xf>
    <xf numFmtId="0" fontId="0" fillId="0" borderId="0" xfId="0" applyNumberFormat="1" applyAlignment="1" applyProtection="1">
      <alignment wrapText="1"/>
      <protection hidden="1"/>
    </xf>
    <xf numFmtId="0" fontId="0" fillId="0" borderId="0" xfId="0" applyAlignment="1" applyProtection="1">
      <alignment wrapText="1"/>
      <protection hidden="1"/>
    </xf>
    <xf numFmtId="49" fontId="7" fillId="0" borderId="0" xfId="0" applyNumberFormat="1" applyFont="1" applyAlignment="1" applyProtection="1">
      <alignment wrapText="1"/>
      <protection hidden="1"/>
    </xf>
    <xf numFmtId="0" fontId="7" fillId="0" borderId="0" xfId="0" applyFont="1" applyAlignment="1" applyProtection="1">
      <alignment wrapText="1"/>
      <protection hidden="1"/>
    </xf>
    <xf numFmtId="49" fontId="0" fillId="0" borderId="0" xfId="0" applyNumberFormat="1" applyAlignment="1" applyProtection="1">
      <alignment wrapText="1"/>
      <protection hidden="1"/>
    </xf>
    <xf numFmtId="0" fontId="0" fillId="0" borderId="0" xfId="0" applyAlignment="1">
      <alignment vertical="top" wrapText="1"/>
    </xf>
    <xf numFmtId="0" fontId="0" fillId="0" borderId="0" xfId="0" applyAlignment="1">
      <alignment vertical="top"/>
    </xf>
    <xf numFmtId="0" fontId="23" fillId="0" borderId="0" xfId="0" applyFont="1" applyBorder="1"/>
    <xf numFmtId="0" fontId="16" fillId="0" borderId="0" xfId="0" applyFont="1" applyAlignment="1">
      <alignment horizontal="left" vertical="top" wrapText="1"/>
    </xf>
  </cellXfs>
  <cellStyles count="6">
    <cellStyle name="Accent1" xfId="5" builtinId="29"/>
    <cellStyle name="Header" xfId="1"/>
    <cellStyle name="Hyperlink" xfId="2" builtinId="8"/>
    <cellStyle name="Normal" xfId="0" builtinId="0"/>
    <cellStyle name="Style 1" xfId="3"/>
    <cellStyle name="Style 2" xfId="4"/>
  </cellStyles>
  <dxfs count="46">
    <dxf>
      <fill>
        <patternFill>
          <bgColor theme="9" tint="0.59996337778862885"/>
        </patternFill>
      </fill>
    </dxf>
    <dxf>
      <fill>
        <patternFill>
          <bgColor theme="7" tint="0.59996337778862885"/>
        </patternFill>
      </fill>
    </dxf>
    <dxf>
      <fill>
        <patternFill>
          <bgColor theme="5" tint="0.39994506668294322"/>
        </patternFill>
      </fill>
    </dxf>
    <dxf>
      <fill>
        <patternFill>
          <bgColor theme="9" tint="0.59996337778862885"/>
        </patternFill>
      </fill>
    </dxf>
    <dxf>
      <fill>
        <patternFill>
          <bgColor theme="9" tint="0.59996337778862885"/>
        </patternFill>
      </fill>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1" hidden="1"/>
    </dxf>
    <dxf>
      <alignment horizontal="general" vertical="bottom" textRotation="0" wrapText="1" indent="0" justifyLastLine="0" shrinkToFit="0" readingOrder="0"/>
      <protection locked="1" hidden="1"/>
    </dxf>
    <dxf>
      <numFmt numFmtId="30" formatCode="@"/>
      <alignment horizontal="general" vertical="bottom" textRotation="0" wrapText="1" indent="0" justifyLastLine="0" shrinkToFit="0" readingOrder="0"/>
      <protection locked="1" hidden="1"/>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bgColor rgb="FFFFC7CE"/>
        </patternFill>
      </fill>
    </dxf>
    <dxf>
      <fill>
        <patternFill>
          <bgColor rgb="FFFFC7CE"/>
        </patternFill>
      </fill>
    </dxf>
    <dxf>
      <fill>
        <patternFill>
          <bgColor theme="9" tint="0.59996337778862885"/>
        </patternFill>
      </fill>
    </dxf>
    <dxf>
      <fill>
        <patternFill>
          <bgColor theme="9" tint="0.59996337778862885"/>
        </patternFill>
      </fill>
    </dxf>
    <dxf>
      <fill>
        <patternFill>
          <bgColor theme="7" tint="0.59996337778862885"/>
        </patternFill>
      </fill>
    </dxf>
    <dxf>
      <fill>
        <patternFill>
          <bgColor theme="5" tint="0.39994506668294322"/>
        </patternFill>
      </fill>
    </dxf>
    <dxf>
      <fill>
        <patternFill>
          <bgColor theme="9" tint="0.59996337778862885"/>
        </patternFill>
      </fill>
    </dxf>
    <dxf>
      <fill>
        <patternFill>
          <bgColor theme="7" tint="0.59996337778862885"/>
        </patternFill>
      </fill>
    </dxf>
    <dxf>
      <fill>
        <patternFill>
          <bgColor theme="5" tint="0.39994506668294322"/>
        </patternFill>
      </fill>
    </dxf>
    <dxf>
      <fill>
        <patternFill>
          <bgColor theme="9" tint="0.59996337778862885"/>
        </patternFill>
      </fill>
    </dxf>
    <dxf>
      <fill>
        <patternFill>
          <bgColor theme="7" tint="0.59996337778862885"/>
        </patternFill>
      </fill>
    </dxf>
    <dxf>
      <fill>
        <patternFill>
          <bgColor theme="5" tint="0.39994506668294322"/>
        </patternFill>
      </fill>
    </dxf>
    <dxf>
      <fill>
        <patternFill>
          <bgColor theme="9" tint="0.59996337778862885"/>
        </patternFill>
      </fill>
    </dxf>
    <dxf>
      <fill>
        <patternFill>
          <bgColor theme="7" tint="0.59996337778862885"/>
        </patternFill>
      </fill>
    </dxf>
    <dxf>
      <fill>
        <patternFill>
          <bgColor theme="5" tint="0.39994506668294322"/>
        </patternFill>
      </fill>
    </dxf>
    <dxf>
      <fill>
        <patternFill>
          <bgColor theme="9" tint="0.59996337778862885"/>
        </patternFill>
      </fill>
    </dxf>
    <dxf>
      <fill>
        <patternFill>
          <bgColor theme="7" tint="0.59996337778862885"/>
        </patternFill>
      </fill>
    </dxf>
    <dxf>
      <fill>
        <patternFill>
          <bgColor theme="5" tint="0.39994506668294322"/>
        </patternFill>
      </fill>
    </dxf>
    <dxf>
      <fill>
        <patternFill>
          <bgColor theme="9" tint="0.59996337778862885"/>
        </patternFill>
      </fill>
    </dxf>
    <dxf>
      <fill>
        <patternFill>
          <bgColor theme="7" tint="0.59996337778862885"/>
        </patternFill>
      </fill>
    </dxf>
    <dxf>
      <fill>
        <patternFill>
          <bgColor theme="5" tint="0.39994506668294322"/>
        </patternFill>
      </fill>
    </dxf>
    <dxf>
      <fill>
        <patternFill>
          <bgColor theme="9" tint="0.59996337778862885"/>
        </patternFill>
      </fill>
    </dxf>
    <dxf>
      <fill>
        <patternFill>
          <bgColor theme="7" tint="0.59996337778862885"/>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FFE699"/>
      <color rgb="FFF4B084"/>
      <color rgb="FFC6E0B4"/>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123825</xdr:rowOff>
    </xdr:from>
    <xdr:to>
      <xdr:col>2</xdr:col>
      <xdr:colOff>419100</xdr:colOff>
      <xdr:row>2</xdr:row>
      <xdr:rowOff>114300</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123825"/>
          <a:ext cx="100965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63500</xdr:rowOff>
        </xdr:from>
        <xdr:to>
          <xdr:col>1</xdr:col>
          <xdr:colOff>1244600</xdr:colOff>
          <xdr:row>0</xdr:row>
          <xdr:rowOff>520700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Filter Metrics for selected Measure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gistry%20Metric%20Documentation-MMK.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Page"/>
      <sheetName val="Read Me"/>
      <sheetName val="Measures and Benchmarks"/>
      <sheetName val="Metrics"/>
      <sheetName val="Metric Details"/>
      <sheetName val="(Hidden Sheet)"/>
    </sheetNames>
    <sheetDataSet>
      <sheetData sheetId="0"/>
      <sheetData sheetId="1"/>
      <sheetData sheetId="2"/>
      <sheetData sheetId="3"/>
      <sheetData sheetId="4"/>
      <sheetData sheetId="5">
        <row r="7">
          <cell r="A7" t="str">
            <v>Event (LEV)</v>
          </cell>
        </row>
        <row r="8">
          <cell r="A8" t="str">
            <v>Case Tracking Event (Category list EAF 53040)</v>
          </cell>
        </row>
        <row r="9">
          <cell r="A9" t="str">
            <v>Event (LEV) and Case Tracking Event (Category  List EAF 53040)</v>
          </cell>
        </row>
      </sheetData>
    </sheetDataSet>
  </externalBook>
</externalLink>
</file>

<file path=xl/tables/table1.xml><?xml version="1.0" encoding="utf-8"?>
<table xmlns="http://schemas.openxmlformats.org/spreadsheetml/2006/main" id="1" name="Table1" displayName="Table1" ref="A2:H1048576" totalsRowShown="0" headerRowDxfId="14" dataDxfId="13">
  <autoFilter ref="A2:H1048576"/>
  <tableColumns count="8">
    <tableColumn id="1" name="Steward" dataDxfId="12"/>
    <tableColumn id="2" name="Measure Number" dataDxfId="11"/>
    <tableColumn id="3" name="Measure Name" dataDxfId="10"/>
    <tableColumn id="4" name="Definition" dataDxfId="9"/>
    <tableColumn id="5" name="Registry Metrics Required to Report" dataDxfId="8"/>
    <tableColumn id="6" name="Ready?" dataDxfId="7"/>
    <tableColumn id="7" name="Remaining Configuration/Validation Needed" dataDxfId="6"/>
    <tableColumn id="8" name="Comments" dataDxfId="5"/>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galaxy.epic.com/?" TargetMode="External"/><Relationship Id="rId2" Type="http://schemas.openxmlformats.org/officeDocument/2006/relationships/hyperlink" Target="https://welearning.epic.com/Details.aspx?csn=103817"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4" Type="http://schemas.openxmlformats.org/officeDocument/2006/relationships/vmlDrawing" Target="../drawings/vmlDrawing1.vml"/><Relationship Id="rId5" Type="http://schemas.openxmlformats.org/officeDocument/2006/relationships/ctrlProp" Target="../ctrlProps/ctrlProp1.xml"/><Relationship Id="rId6" Type="http://schemas.openxmlformats.org/officeDocument/2006/relationships/table" Target="../tables/table1.xml"/><Relationship Id="rId1" Type="http://schemas.openxmlformats.org/officeDocument/2006/relationships/hyperlink" Target="https://www.aqihq.org/PQRSOverview.aspx" TargetMode="External"/><Relationship Id="rId2" Type="http://schemas.openxmlformats.org/officeDocument/2006/relationships/hyperlink" Target="https://www.aqihq.org/PQRSOverview.asp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4:T32"/>
  <sheetViews>
    <sheetView showGridLines="0" workbookViewId="0">
      <selection activeCell="E21" sqref="E21"/>
    </sheetView>
  </sheetViews>
  <sheetFormatPr baseColWidth="10" defaultColWidth="8.875" defaultRowHeight="15" x14ac:dyDescent="0"/>
  <cols>
    <col min="1" max="1" width="8.875" style="15"/>
    <col min="2" max="2" width="8.875" style="10"/>
    <col min="3" max="3" width="22.625" style="10" customWidth="1"/>
    <col min="4" max="4" width="8.875" style="10"/>
    <col min="5" max="5" width="10.625" style="10" bestFit="1" customWidth="1"/>
    <col min="6" max="258" width="8.875" style="10"/>
    <col min="259" max="259" width="22.625" style="10" customWidth="1"/>
    <col min="260" max="260" width="8.875" style="10"/>
    <col min="261" max="261" width="10.625" style="10" bestFit="1" customWidth="1"/>
    <col min="262" max="514" width="8.875" style="10"/>
    <col min="515" max="515" width="22.625" style="10" customWidth="1"/>
    <col min="516" max="516" width="8.875" style="10"/>
    <col min="517" max="517" width="10.625" style="10" bestFit="1" customWidth="1"/>
    <col min="518" max="770" width="8.875" style="10"/>
    <col min="771" max="771" width="22.625" style="10" customWidth="1"/>
    <col min="772" max="772" width="8.875" style="10"/>
    <col min="773" max="773" width="10.625" style="10" bestFit="1" customWidth="1"/>
    <col min="774" max="1026" width="8.875" style="10"/>
    <col min="1027" max="1027" width="22.625" style="10" customWidth="1"/>
    <col min="1028" max="1028" width="8.875" style="10"/>
    <col min="1029" max="1029" width="10.625" style="10" bestFit="1" customWidth="1"/>
    <col min="1030" max="1282" width="8.875" style="10"/>
    <col min="1283" max="1283" width="22.625" style="10" customWidth="1"/>
    <col min="1284" max="1284" width="8.875" style="10"/>
    <col min="1285" max="1285" width="10.625" style="10" bestFit="1" customWidth="1"/>
    <col min="1286" max="1538" width="8.875" style="10"/>
    <col min="1539" max="1539" width="22.625" style="10" customWidth="1"/>
    <col min="1540" max="1540" width="8.875" style="10"/>
    <col min="1541" max="1541" width="10.625" style="10" bestFit="1" customWidth="1"/>
    <col min="1542" max="1794" width="8.875" style="10"/>
    <col min="1795" max="1795" width="22.625" style="10" customWidth="1"/>
    <col min="1796" max="1796" width="8.875" style="10"/>
    <col min="1797" max="1797" width="10.625" style="10" bestFit="1" customWidth="1"/>
    <col min="1798" max="2050" width="8.875" style="10"/>
    <col min="2051" max="2051" width="22.625" style="10" customWidth="1"/>
    <col min="2052" max="2052" width="8.875" style="10"/>
    <col min="2053" max="2053" width="10.625" style="10" bestFit="1" customWidth="1"/>
    <col min="2054" max="2306" width="8.875" style="10"/>
    <col min="2307" max="2307" width="22.625" style="10" customWidth="1"/>
    <col min="2308" max="2308" width="8.875" style="10"/>
    <col min="2309" max="2309" width="10.625" style="10" bestFit="1" customWidth="1"/>
    <col min="2310" max="2562" width="8.875" style="10"/>
    <col min="2563" max="2563" width="22.625" style="10" customWidth="1"/>
    <col min="2564" max="2564" width="8.875" style="10"/>
    <col min="2565" max="2565" width="10.625" style="10" bestFit="1" customWidth="1"/>
    <col min="2566" max="2818" width="8.875" style="10"/>
    <col min="2819" max="2819" width="22.625" style="10" customWidth="1"/>
    <col min="2820" max="2820" width="8.875" style="10"/>
    <col min="2821" max="2821" width="10.625" style="10" bestFit="1" customWidth="1"/>
    <col min="2822" max="3074" width="8.875" style="10"/>
    <col min="3075" max="3075" width="22.625" style="10" customWidth="1"/>
    <col min="3076" max="3076" width="8.875" style="10"/>
    <col min="3077" max="3077" width="10.625" style="10" bestFit="1" customWidth="1"/>
    <col min="3078" max="3330" width="8.875" style="10"/>
    <col min="3331" max="3331" width="22.625" style="10" customWidth="1"/>
    <col min="3332" max="3332" width="8.875" style="10"/>
    <col min="3333" max="3333" width="10.625" style="10" bestFit="1" customWidth="1"/>
    <col min="3334" max="3586" width="8.875" style="10"/>
    <col min="3587" max="3587" width="22.625" style="10" customWidth="1"/>
    <col min="3588" max="3588" width="8.875" style="10"/>
    <col min="3589" max="3589" width="10.625" style="10" bestFit="1" customWidth="1"/>
    <col min="3590" max="3842" width="8.875" style="10"/>
    <col min="3843" max="3843" width="22.625" style="10" customWidth="1"/>
    <col min="3844" max="3844" width="8.875" style="10"/>
    <col min="3845" max="3845" width="10.625" style="10" bestFit="1" customWidth="1"/>
    <col min="3846" max="4098" width="8.875" style="10"/>
    <col min="4099" max="4099" width="22.625" style="10" customWidth="1"/>
    <col min="4100" max="4100" width="8.875" style="10"/>
    <col min="4101" max="4101" width="10.625" style="10" bestFit="1" customWidth="1"/>
    <col min="4102" max="4354" width="8.875" style="10"/>
    <col min="4355" max="4355" width="22.625" style="10" customWidth="1"/>
    <col min="4356" max="4356" width="8.875" style="10"/>
    <col min="4357" max="4357" width="10.625" style="10" bestFit="1" customWidth="1"/>
    <col min="4358" max="4610" width="8.875" style="10"/>
    <col min="4611" max="4611" width="22.625" style="10" customWidth="1"/>
    <col min="4612" max="4612" width="8.875" style="10"/>
    <col min="4613" max="4613" width="10.625" style="10" bestFit="1" customWidth="1"/>
    <col min="4614" max="4866" width="8.875" style="10"/>
    <col min="4867" max="4867" width="22.625" style="10" customWidth="1"/>
    <col min="4868" max="4868" width="8.875" style="10"/>
    <col min="4869" max="4869" width="10.625" style="10" bestFit="1" customWidth="1"/>
    <col min="4870" max="5122" width="8.875" style="10"/>
    <col min="5123" max="5123" width="22.625" style="10" customWidth="1"/>
    <col min="5124" max="5124" width="8.875" style="10"/>
    <col min="5125" max="5125" width="10.625" style="10" bestFit="1" customWidth="1"/>
    <col min="5126" max="5378" width="8.875" style="10"/>
    <col min="5379" max="5379" width="22.625" style="10" customWidth="1"/>
    <col min="5380" max="5380" width="8.875" style="10"/>
    <col min="5381" max="5381" width="10.625" style="10" bestFit="1" customWidth="1"/>
    <col min="5382" max="5634" width="8.875" style="10"/>
    <col min="5635" max="5635" width="22.625" style="10" customWidth="1"/>
    <col min="5636" max="5636" width="8.875" style="10"/>
    <col min="5637" max="5637" width="10.625" style="10" bestFit="1" customWidth="1"/>
    <col min="5638" max="5890" width="8.875" style="10"/>
    <col min="5891" max="5891" width="22.625" style="10" customWidth="1"/>
    <col min="5892" max="5892" width="8.875" style="10"/>
    <col min="5893" max="5893" width="10.625" style="10" bestFit="1" customWidth="1"/>
    <col min="5894" max="6146" width="8.875" style="10"/>
    <col min="6147" max="6147" width="22.625" style="10" customWidth="1"/>
    <col min="6148" max="6148" width="8.875" style="10"/>
    <col min="6149" max="6149" width="10.625" style="10" bestFit="1" customWidth="1"/>
    <col min="6150" max="6402" width="8.875" style="10"/>
    <col min="6403" max="6403" width="22.625" style="10" customWidth="1"/>
    <col min="6404" max="6404" width="8.875" style="10"/>
    <col min="6405" max="6405" width="10.625" style="10" bestFit="1" customWidth="1"/>
    <col min="6406" max="6658" width="8.875" style="10"/>
    <col min="6659" max="6659" width="22.625" style="10" customWidth="1"/>
    <col min="6660" max="6660" width="8.875" style="10"/>
    <col min="6661" max="6661" width="10.625" style="10" bestFit="1" customWidth="1"/>
    <col min="6662" max="6914" width="8.875" style="10"/>
    <col min="6915" max="6915" width="22.625" style="10" customWidth="1"/>
    <col min="6916" max="6916" width="8.875" style="10"/>
    <col min="6917" max="6917" width="10.625" style="10" bestFit="1" customWidth="1"/>
    <col min="6918" max="7170" width="8.875" style="10"/>
    <col min="7171" max="7171" width="22.625" style="10" customWidth="1"/>
    <col min="7172" max="7172" width="8.875" style="10"/>
    <col min="7173" max="7173" width="10.625" style="10" bestFit="1" customWidth="1"/>
    <col min="7174" max="7426" width="8.875" style="10"/>
    <col min="7427" max="7427" width="22.625" style="10" customWidth="1"/>
    <col min="7428" max="7428" width="8.875" style="10"/>
    <col min="7429" max="7429" width="10.625" style="10" bestFit="1" customWidth="1"/>
    <col min="7430" max="7682" width="8.875" style="10"/>
    <col min="7683" max="7683" width="22.625" style="10" customWidth="1"/>
    <col min="7684" max="7684" width="8.875" style="10"/>
    <col min="7685" max="7685" width="10.625" style="10" bestFit="1" customWidth="1"/>
    <col min="7686" max="7938" width="8.875" style="10"/>
    <col min="7939" max="7939" width="22.625" style="10" customWidth="1"/>
    <col min="7940" max="7940" width="8.875" style="10"/>
    <col min="7941" max="7941" width="10.625" style="10" bestFit="1" customWidth="1"/>
    <col min="7942" max="8194" width="8.875" style="10"/>
    <col min="8195" max="8195" width="22.625" style="10" customWidth="1"/>
    <col min="8196" max="8196" width="8.875" style="10"/>
    <col min="8197" max="8197" width="10.625" style="10" bestFit="1" customWidth="1"/>
    <col min="8198" max="8450" width="8.875" style="10"/>
    <col min="8451" max="8451" width="22.625" style="10" customWidth="1"/>
    <col min="8452" max="8452" width="8.875" style="10"/>
    <col min="8453" max="8453" width="10.625" style="10" bestFit="1" customWidth="1"/>
    <col min="8454" max="8706" width="8.875" style="10"/>
    <col min="8707" max="8707" width="22.625" style="10" customWidth="1"/>
    <col min="8708" max="8708" width="8.875" style="10"/>
    <col min="8709" max="8709" width="10.625" style="10" bestFit="1" customWidth="1"/>
    <col min="8710" max="8962" width="8.875" style="10"/>
    <col min="8963" max="8963" width="22.625" style="10" customWidth="1"/>
    <col min="8964" max="8964" width="8.875" style="10"/>
    <col min="8965" max="8965" width="10.625" style="10" bestFit="1" customWidth="1"/>
    <col min="8966" max="9218" width="8.875" style="10"/>
    <col min="9219" max="9219" width="22.625" style="10" customWidth="1"/>
    <col min="9220" max="9220" width="8.875" style="10"/>
    <col min="9221" max="9221" width="10.625" style="10" bestFit="1" customWidth="1"/>
    <col min="9222" max="9474" width="8.875" style="10"/>
    <col min="9475" max="9475" width="22.625" style="10" customWidth="1"/>
    <col min="9476" max="9476" width="8.875" style="10"/>
    <col min="9477" max="9477" width="10.625" style="10" bestFit="1" customWidth="1"/>
    <col min="9478" max="9730" width="8.875" style="10"/>
    <col min="9731" max="9731" width="22.625" style="10" customWidth="1"/>
    <col min="9732" max="9732" width="8.875" style="10"/>
    <col min="9733" max="9733" width="10.625" style="10" bestFit="1" customWidth="1"/>
    <col min="9734" max="9986" width="8.875" style="10"/>
    <col min="9987" max="9987" width="22.625" style="10" customWidth="1"/>
    <col min="9988" max="9988" width="8.875" style="10"/>
    <col min="9989" max="9989" width="10.625" style="10" bestFit="1" customWidth="1"/>
    <col min="9990" max="10242" width="8.875" style="10"/>
    <col min="10243" max="10243" width="22.625" style="10" customWidth="1"/>
    <col min="10244" max="10244" width="8.875" style="10"/>
    <col min="10245" max="10245" width="10.625" style="10" bestFit="1" customWidth="1"/>
    <col min="10246" max="10498" width="8.875" style="10"/>
    <col min="10499" max="10499" width="22.625" style="10" customWidth="1"/>
    <col min="10500" max="10500" width="8.875" style="10"/>
    <col min="10501" max="10501" width="10.625" style="10" bestFit="1" customWidth="1"/>
    <col min="10502" max="10754" width="8.875" style="10"/>
    <col min="10755" max="10755" width="22.625" style="10" customWidth="1"/>
    <col min="10756" max="10756" width="8.875" style="10"/>
    <col min="10757" max="10757" width="10.625" style="10" bestFit="1" customWidth="1"/>
    <col min="10758" max="11010" width="8.875" style="10"/>
    <col min="11011" max="11011" width="22.625" style="10" customWidth="1"/>
    <col min="11012" max="11012" width="8.875" style="10"/>
    <col min="11013" max="11013" width="10.625" style="10" bestFit="1" customWidth="1"/>
    <col min="11014" max="11266" width="8.875" style="10"/>
    <col min="11267" max="11267" width="22.625" style="10" customWidth="1"/>
    <col min="11268" max="11268" width="8.875" style="10"/>
    <col min="11269" max="11269" width="10.625" style="10" bestFit="1" customWidth="1"/>
    <col min="11270" max="11522" width="8.875" style="10"/>
    <col min="11523" max="11523" width="22.625" style="10" customWidth="1"/>
    <col min="11524" max="11524" width="8.875" style="10"/>
    <col min="11525" max="11525" width="10.625" style="10" bestFit="1" customWidth="1"/>
    <col min="11526" max="11778" width="8.875" style="10"/>
    <col min="11779" max="11779" width="22.625" style="10" customWidth="1"/>
    <col min="11780" max="11780" width="8.875" style="10"/>
    <col min="11781" max="11781" width="10.625" style="10" bestFit="1" customWidth="1"/>
    <col min="11782" max="12034" width="8.875" style="10"/>
    <col min="12035" max="12035" width="22.625" style="10" customWidth="1"/>
    <col min="12036" max="12036" width="8.875" style="10"/>
    <col min="12037" max="12037" width="10.625" style="10" bestFit="1" customWidth="1"/>
    <col min="12038" max="12290" width="8.875" style="10"/>
    <col min="12291" max="12291" width="22.625" style="10" customWidth="1"/>
    <col min="12292" max="12292" width="8.875" style="10"/>
    <col min="12293" max="12293" width="10.625" style="10" bestFit="1" customWidth="1"/>
    <col min="12294" max="12546" width="8.875" style="10"/>
    <col min="12547" max="12547" width="22.625" style="10" customWidth="1"/>
    <col min="12548" max="12548" width="8.875" style="10"/>
    <col min="12549" max="12549" width="10.625" style="10" bestFit="1" customWidth="1"/>
    <col min="12550" max="12802" width="8.875" style="10"/>
    <col min="12803" max="12803" width="22.625" style="10" customWidth="1"/>
    <col min="12804" max="12804" width="8.875" style="10"/>
    <col min="12805" max="12805" width="10.625" style="10" bestFit="1" customWidth="1"/>
    <col min="12806" max="13058" width="8.875" style="10"/>
    <col min="13059" max="13059" width="22.625" style="10" customWidth="1"/>
    <col min="13060" max="13060" width="8.875" style="10"/>
    <col min="13061" max="13061" width="10.625" style="10" bestFit="1" customWidth="1"/>
    <col min="13062" max="13314" width="8.875" style="10"/>
    <col min="13315" max="13315" width="22.625" style="10" customWidth="1"/>
    <col min="13316" max="13316" width="8.875" style="10"/>
    <col min="13317" max="13317" width="10.625" style="10" bestFit="1" customWidth="1"/>
    <col min="13318" max="13570" width="8.875" style="10"/>
    <col min="13571" max="13571" width="22.625" style="10" customWidth="1"/>
    <col min="13572" max="13572" width="8.875" style="10"/>
    <col min="13573" max="13573" width="10.625" style="10" bestFit="1" customWidth="1"/>
    <col min="13574" max="13826" width="8.875" style="10"/>
    <col min="13827" max="13827" width="22.625" style="10" customWidth="1"/>
    <col min="13828" max="13828" width="8.875" style="10"/>
    <col min="13829" max="13829" width="10.625" style="10" bestFit="1" customWidth="1"/>
    <col min="13830" max="14082" width="8.875" style="10"/>
    <col min="14083" max="14083" width="22.625" style="10" customWidth="1"/>
    <col min="14084" max="14084" width="8.875" style="10"/>
    <col min="14085" max="14085" width="10.625" style="10" bestFit="1" customWidth="1"/>
    <col min="14086" max="14338" width="8.875" style="10"/>
    <col min="14339" max="14339" width="22.625" style="10" customWidth="1"/>
    <col min="14340" max="14340" width="8.875" style="10"/>
    <col min="14341" max="14341" width="10.625" style="10" bestFit="1" customWidth="1"/>
    <col min="14342" max="14594" width="8.875" style="10"/>
    <col min="14595" max="14595" width="22.625" style="10" customWidth="1"/>
    <col min="14596" max="14596" width="8.875" style="10"/>
    <col min="14597" max="14597" width="10.625" style="10" bestFit="1" customWidth="1"/>
    <col min="14598" max="14850" width="8.875" style="10"/>
    <col min="14851" max="14851" width="22.625" style="10" customWidth="1"/>
    <col min="14852" max="14852" width="8.875" style="10"/>
    <col min="14853" max="14853" width="10.625" style="10" bestFit="1" customWidth="1"/>
    <col min="14854" max="15106" width="8.875" style="10"/>
    <col min="15107" max="15107" width="22.625" style="10" customWidth="1"/>
    <col min="15108" max="15108" width="8.875" style="10"/>
    <col min="15109" max="15109" width="10.625" style="10" bestFit="1" customWidth="1"/>
    <col min="15110" max="15362" width="8.875" style="10"/>
    <col min="15363" max="15363" width="22.625" style="10" customWidth="1"/>
    <col min="15364" max="15364" width="8.875" style="10"/>
    <col min="15365" max="15365" width="10.625" style="10" bestFit="1" customWidth="1"/>
    <col min="15366" max="15618" width="8.875" style="10"/>
    <col min="15619" max="15619" width="22.625" style="10" customWidth="1"/>
    <col min="15620" max="15620" width="8.875" style="10"/>
    <col min="15621" max="15621" width="10.625" style="10" bestFit="1" customWidth="1"/>
    <col min="15622" max="15874" width="8.875" style="10"/>
    <col min="15875" max="15875" width="22.625" style="10" customWidth="1"/>
    <col min="15876" max="15876" width="8.875" style="10"/>
    <col min="15877" max="15877" width="10.625" style="10" bestFit="1" customWidth="1"/>
    <col min="15878" max="16130" width="8.875" style="10"/>
    <col min="16131" max="16131" width="22.625" style="10" customWidth="1"/>
    <col min="16132" max="16132" width="8.875" style="10"/>
    <col min="16133" max="16133" width="10.625" style="10" bestFit="1" customWidth="1"/>
    <col min="16134" max="16384" width="8.875" style="10"/>
  </cols>
  <sheetData>
    <row r="4" spans="1:20" s="6" customFormat="1" ht="25">
      <c r="A4" s="13"/>
      <c r="B4" s="7" t="s">
        <v>516</v>
      </c>
    </row>
    <row r="5" spans="1:20" s="8" customFormat="1" ht="38">
      <c r="A5" s="14"/>
      <c r="B5" s="9" t="s">
        <v>517</v>
      </c>
    </row>
    <row r="6" spans="1:20">
      <c r="T6" s="17"/>
    </row>
    <row r="7" spans="1:20">
      <c r="B7" s="10" t="s">
        <v>514</v>
      </c>
      <c r="E7" s="11"/>
      <c r="T7" s="17"/>
    </row>
    <row r="8" spans="1:20">
      <c r="T8" s="17"/>
    </row>
    <row r="9" spans="1:20">
      <c r="B9" s="10" t="s">
        <v>515</v>
      </c>
      <c r="E9" s="12"/>
      <c r="T9" s="19"/>
    </row>
    <row r="10" spans="1:20">
      <c r="T10" s="19"/>
    </row>
    <row r="11" spans="1:20">
      <c r="T11" s="19"/>
    </row>
    <row r="12" spans="1:20" ht="25">
      <c r="B12" s="7" t="s">
        <v>518</v>
      </c>
      <c r="T12" s="19"/>
    </row>
    <row r="13" spans="1:20">
      <c r="B13" s="17" t="s">
        <v>619</v>
      </c>
      <c r="T13" s="19"/>
    </row>
    <row r="14" spans="1:20">
      <c r="B14" s="18" t="s">
        <v>519</v>
      </c>
      <c r="T14" s="19"/>
    </row>
    <row r="15" spans="1:20">
      <c r="B15" s="18" t="s">
        <v>521</v>
      </c>
      <c r="T15" s="19"/>
    </row>
    <row r="16" spans="1:20">
      <c r="B16" s="18" t="s">
        <v>520</v>
      </c>
      <c r="T16" s="19"/>
    </row>
    <row r="17" spans="1:20">
      <c r="T17" s="19"/>
    </row>
    <row r="32" spans="1:20" ht="409.5" customHeight="1">
      <c r="A32" s="54"/>
      <c r="B32" s="54"/>
      <c r="C32" s="54"/>
      <c r="D32" s="54"/>
      <c r="E32" s="54"/>
      <c r="F32" s="54"/>
      <c r="G32" s="54"/>
      <c r="H32" s="54"/>
      <c r="I32" s="54"/>
      <c r="J32" s="54"/>
      <c r="K32" s="54"/>
      <c r="L32" s="54"/>
      <c r="M32" s="54"/>
      <c r="N32" s="54"/>
      <c r="O32" s="54"/>
      <c r="P32" s="54"/>
      <c r="Q32" s="54"/>
      <c r="R32" s="54"/>
      <c r="S32" s="54"/>
      <c r="T32" s="54"/>
    </row>
  </sheetData>
  <customSheetViews>
    <customSheetView guid="{53C5DE82-FE17-4722-873D-10749BE7DF83}" showGridLines="0">
      <selection activeCell="B15" sqref="B15"/>
      <pageSetup orientation="portrait"/>
    </customSheetView>
  </customSheetViews>
  <mergeCells count="1">
    <mergeCell ref="A32:T32"/>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D27"/>
  <sheetViews>
    <sheetView showGridLines="0" workbookViewId="0"/>
  </sheetViews>
  <sheetFormatPr baseColWidth="10" defaultColWidth="8.875" defaultRowHeight="15" x14ac:dyDescent="0"/>
  <cols>
    <col min="1" max="1" width="163.5" style="16" customWidth="1"/>
    <col min="2" max="256" width="8.875" style="16"/>
    <col min="257" max="257" width="163.5" style="16" customWidth="1"/>
    <col min="258" max="512" width="8.875" style="16"/>
    <col min="513" max="513" width="163.5" style="16" customWidth="1"/>
    <col min="514" max="768" width="8.875" style="16"/>
    <col min="769" max="769" width="163.5" style="16" customWidth="1"/>
    <col min="770" max="1024" width="8.875" style="16"/>
    <col min="1025" max="1025" width="163.5" style="16" customWidth="1"/>
    <col min="1026" max="1280" width="8.875" style="16"/>
    <col min="1281" max="1281" width="163.5" style="16" customWidth="1"/>
    <col min="1282" max="1536" width="8.875" style="16"/>
    <col min="1537" max="1537" width="163.5" style="16" customWidth="1"/>
    <col min="1538" max="1792" width="8.875" style="16"/>
    <col min="1793" max="1793" width="163.5" style="16" customWidth="1"/>
    <col min="1794" max="2048" width="8.875" style="16"/>
    <col min="2049" max="2049" width="163.5" style="16" customWidth="1"/>
    <col min="2050" max="2304" width="8.875" style="16"/>
    <col min="2305" max="2305" width="163.5" style="16" customWidth="1"/>
    <col min="2306" max="2560" width="8.875" style="16"/>
    <col min="2561" max="2561" width="163.5" style="16" customWidth="1"/>
    <col min="2562" max="2816" width="8.875" style="16"/>
    <col min="2817" max="2817" width="163.5" style="16" customWidth="1"/>
    <col min="2818" max="3072" width="8.875" style="16"/>
    <col min="3073" max="3073" width="163.5" style="16" customWidth="1"/>
    <col min="3074" max="3328" width="8.875" style="16"/>
    <col min="3329" max="3329" width="163.5" style="16" customWidth="1"/>
    <col min="3330" max="3584" width="8.875" style="16"/>
    <col min="3585" max="3585" width="163.5" style="16" customWidth="1"/>
    <col min="3586" max="3840" width="8.875" style="16"/>
    <col min="3841" max="3841" width="163.5" style="16" customWidth="1"/>
    <col min="3842" max="4096" width="8.875" style="16"/>
    <col min="4097" max="4097" width="163.5" style="16" customWidth="1"/>
    <col min="4098" max="4352" width="8.875" style="16"/>
    <col min="4353" max="4353" width="163.5" style="16" customWidth="1"/>
    <col min="4354" max="4608" width="8.875" style="16"/>
    <col min="4609" max="4609" width="163.5" style="16" customWidth="1"/>
    <col min="4610" max="4864" width="8.875" style="16"/>
    <col min="4865" max="4865" width="163.5" style="16" customWidth="1"/>
    <col min="4866" max="5120" width="8.875" style="16"/>
    <col min="5121" max="5121" width="163.5" style="16" customWidth="1"/>
    <col min="5122" max="5376" width="8.875" style="16"/>
    <col min="5377" max="5377" width="163.5" style="16" customWidth="1"/>
    <col min="5378" max="5632" width="8.875" style="16"/>
    <col min="5633" max="5633" width="163.5" style="16" customWidth="1"/>
    <col min="5634" max="5888" width="8.875" style="16"/>
    <col min="5889" max="5889" width="163.5" style="16" customWidth="1"/>
    <col min="5890" max="6144" width="8.875" style="16"/>
    <col min="6145" max="6145" width="163.5" style="16" customWidth="1"/>
    <col min="6146" max="6400" width="8.875" style="16"/>
    <col min="6401" max="6401" width="163.5" style="16" customWidth="1"/>
    <col min="6402" max="6656" width="8.875" style="16"/>
    <col min="6657" max="6657" width="163.5" style="16" customWidth="1"/>
    <col min="6658" max="6912" width="8.875" style="16"/>
    <col min="6913" max="6913" width="163.5" style="16" customWidth="1"/>
    <col min="6914" max="7168" width="8.875" style="16"/>
    <col min="7169" max="7169" width="163.5" style="16" customWidth="1"/>
    <col min="7170" max="7424" width="8.875" style="16"/>
    <col min="7425" max="7425" width="163.5" style="16" customWidth="1"/>
    <col min="7426" max="7680" width="8.875" style="16"/>
    <col min="7681" max="7681" width="163.5" style="16" customWidth="1"/>
    <col min="7682" max="7936" width="8.875" style="16"/>
    <col min="7937" max="7937" width="163.5" style="16" customWidth="1"/>
    <col min="7938" max="8192" width="8.875" style="16"/>
    <col min="8193" max="8193" width="163.5" style="16" customWidth="1"/>
    <col min="8194" max="8448" width="8.875" style="16"/>
    <col min="8449" max="8449" width="163.5" style="16" customWidth="1"/>
    <col min="8450" max="8704" width="8.875" style="16"/>
    <col min="8705" max="8705" width="163.5" style="16" customWidth="1"/>
    <col min="8706" max="8960" width="8.875" style="16"/>
    <col min="8961" max="8961" width="163.5" style="16" customWidth="1"/>
    <col min="8962" max="9216" width="8.875" style="16"/>
    <col min="9217" max="9217" width="163.5" style="16" customWidth="1"/>
    <col min="9218" max="9472" width="8.875" style="16"/>
    <col min="9473" max="9473" width="163.5" style="16" customWidth="1"/>
    <col min="9474" max="9728" width="8.875" style="16"/>
    <col min="9729" max="9729" width="163.5" style="16" customWidth="1"/>
    <col min="9730" max="9984" width="8.875" style="16"/>
    <col min="9985" max="9985" width="163.5" style="16" customWidth="1"/>
    <col min="9986" max="10240" width="8.875" style="16"/>
    <col min="10241" max="10241" width="163.5" style="16" customWidth="1"/>
    <col min="10242" max="10496" width="8.875" style="16"/>
    <col min="10497" max="10497" width="163.5" style="16" customWidth="1"/>
    <col min="10498" max="10752" width="8.875" style="16"/>
    <col min="10753" max="10753" width="163.5" style="16" customWidth="1"/>
    <col min="10754" max="11008" width="8.875" style="16"/>
    <col min="11009" max="11009" width="163.5" style="16" customWidth="1"/>
    <col min="11010" max="11264" width="8.875" style="16"/>
    <col min="11265" max="11265" width="163.5" style="16" customWidth="1"/>
    <col min="11266" max="11520" width="8.875" style="16"/>
    <col min="11521" max="11521" width="163.5" style="16" customWidth="1"/>
    <col min="11522" max="11776" width="8.875" style="16"/>
    <col min="11777" max="11777" width="163.5" style="16" customWidth="1"/>
    <col min="11778" max="12032" width="8.875" style="16"/>
    <col min="12033" max="12033" width="163.5" style="16" customWidth="1"/>
    <col min="12034" max="12288" width="8.875" style="16"/>
    <col min="12289" max="12289" width="163.5" style="16" customWidth="1"/>
    <col min="12290" max="12544" width="8.875" style="16"/>
    <col min="12545" max="12545" width="163.5" style="16" customWidth="1"/>
    <col min="12546" max="12800" width="8.875" style="16"/>
    <col min="12801" max="12801" width="163.5" style="16" customWidth="1"/>
    <col min="12802" max="13056" width="8.875" style="16"/>
    <col min="13057" max="13057" width="163.5" style="16" customWidth="1"/>
    <col min="13058" max="13312" width="8.875" style="16"/>
    <col min="13313" max="13313" width="163.5" style="16" customWidth="1"/>
    <col min="13314" max="13568" width="8.875" style="16"/>
    <col min="13569" max="13569" width="163.5" style="16" customWidth="1"/>
    <col min="13570" max="13824" width="8.875" style="16"/>
    <col min="13825" max="13825" width="163.5" style="16" customWidth="1"/>
    <col min="13826" max="14080" width="8.875" style="16"/>
    <col min="14081" max="14081" width="163.5" style="16" customWidth="1"/>
    <col min="14082" max="14336" width="8.875" style="16"/>
    <col min="14337" max="14337" width="163.5" style="16" customWidth="1"/>
    <col min="14338" max="14592" width="8.875" style="16"/>
    <col min="14593" max="14593" width="163.5" style="16" customWidth="1"/>
    <col min="14594" max="14848" width="8.875" style="16"/>
    <col min="14849" max="14849" width="163.5" style="16" customWidth="1"/>
    <col min="14850" max="15104" width="8.875" style="16"/>
    <col min="15105" max="15105" width="163.5" style="16" customWidth="1"/>
    <col min="15106" max="15360" width="8.875" style="16"/>
    <col min="15361" max="15361" width="163.5" style="16" customWidth="1"/>
    <col min="15362" max="15616" width="8.875" style="16"/>
    <col min="15617" max="15617" width="163.5" style="16" customWidth="1"/>
    <col min="15618" max="15872" width="8.875" style="16"/>
    <col min="15873" max="15873" width="163.5" style="16" customWidth="1"/>
    <col min="15874" max="16128" width="8.875" style="16"/>
    <col min="16129" max="16129" width="163.5" style="16" customWidth="1"/>
    <col min="16130" max="16384" width="8.875" style="16"/>
  </cols>
  <sheetData>
    <row r="1" spans="1:2" ht="25">
      <c r="A1" s="20" t="s">
        <v>522</v>
      </c>
    </row>
    <row r="3" spans="1:2" ht="75">
      <c r="A3" s="23" t="s">
        <v>630</v>
      </c>
    </row>
    <row r="4" spans="1:2">
      <c r="A4" s="23"/>
    </row>
    <row r="5" spans="1:2">
      <c r="A5" s="23" t="s">
        <v>524</v>
      </c>
    </row>
    <row r="6" spans="1:2">
      <c r="A6" s="26" t="s">
        <v>525</v>
      </c>
    </row>
    <row r="7" spans="1:2">
      <c r="A7" s="26" t="s">
        <v>526</v>
      </c>
    </row>
    <row r="8" spans="1:2">
      <c r="A8" s="26"/>
    </row>
    <row r="9" spans="1:2" ht="18">
      <c r="A9" s="21" t="s">
        <v>523</v>
      </c>
      <c r="B9" s="22"/>
    </row>
    <row r="10" spans="1:2" ht="18">
      <c r="A10" s="53" t="s">
        <v>633</v>
      </c>
      <c r="B10" s="22"/>
    </row>
    <row r="11" spans="1:2">
      <c r="A11" s="24" t="s">
        <v>631</v>
      </c>
    </row>
    <row r="12" spans="1:2">
      <c r="A12" s="24" t="s">
        <v>632</v>
      </c>
    </row>
    <row r="13" spans="1:2">
      <c r="A13" s="24" t="s">
        <v>634</v>
      </c>
    </row>
    <row r="14" spans="1:2">
      <c r="A14" s="23"/>
    </row>
    <row r="16" spans="1:2" ht="18">
      <c r="A16" s="21" t="s">
        <v>475</v>
      </c>
    </row>
    <row r="17" spans="1:4" ht="30">
      <c r="A17" s="23" t="s">
        <v>635</v>
      </c>
    </row>
    <row r="18" spans="1:4">
      <c r="A18" s="23" t="s">
        <v>636</v>
      </c>
    </row>
    <row r="19" spans="1:4">
      <c r="A19" s="37" t="s">
        <v>637</v>
      </c>
    </row>
    <row r="20" spans="1:4" ht="45">
      <c r="A20" s="28" t="s">
        <v>638</v>
      </c>
      <c r="B20" s="27"/>
    </row>
    <row r="21" spans="1:4" ht="30">
      <c r="A21" s="29" t="s">
        <v>639</v>
      </c>
      <c r="B21" s="27"/>
      <c r="D21" s="27"/>
    </row>
    <row r="23" spans="1:4">
      <c r="A23"/>
      <c r="B23" s="27"/>
    </row>
    <row r="24" spans="1:4">
      <c r="A24" s="25"/>
    </row>
    <row r="25" spans="1:4">
      <c r="A25" s="25"/>
    </row>
    <row r="26" spans="1:4">
      <c r="A26"/>
    </row>
    <row r="27" spans="1:4">
      <c r="A27"/>
    </row>
  </sheetData>
  <customSheetViews>
    <customSheetView guid="{53C5DE82-FE17-4722-873D-10749BE7DF83}">
      <selection activeCell="F16" sqref="F16"/>
    </customSheetView>
  </customSheetViews>
  <conditionalFormatting sqref="A25">
    <cfRule type="expression" dxfId="45" priority="9" stopIfTrue="1">
      <formula>LEN(C25)&gt;0</formula>
    </cfRule>
  </conditionalFormatting>
  <conditionalFormatting sqref="A21">
    <cfRule type="expression" dxfId="44" priority="37" stopIfTrue="1">
      <formula>LEN(C21)&gt;0</formula>
    </cfRule>
  </conditionalFormatting>
  <conditionalFormatting sqref="A20">
    <cfRule type="expression" dxfId="43" priority="41" stopIfTrue="1">
      <formula>LEN(C20)&gt;0</formula>
    </cfRule>
  </conditionalFormatting>
  <conditionalFormatting sqref="A23">
    <cfRule type="expression" dxfId="42" priority="17" stopIfTrue="1">
      <formula>LEN(C23)&gt;0</formula>
    </cfRule>
  </conditionalFormatting>
  <conditionalFormatting sqref="A24">
    <cfRule type="expression" dxfId="41" priority="13" stopIfTrue="1">
      <formula>LEN(C24)&gt;0</formula>
    </cfRule>
  </conditionalFormatting>
  <conditionalFormatting sqref="A19">
    <cfRule type="expression" dxfId="40" priority="5" stopIfTrue="1">
      <formula>LEN(C19)&gt;0</formula>
    </cfRule>
  </conditionalFormatting>
  <conditionalFormatting sqref="A27">
    <cfRule type="expression" dxfId="39" priority="1" stopIfTrue="1">
      <formula>LEN(C27)&gt;0</formula>
    </cfRule>
  </conditionalFormatting>
  <hyperlinks>
    <hyperlink ref="A6" r:id="rId1" location="Browse/page=8100!68!50!1261725"/>
    <hyperlink ref="A7" r:id="rId2"/>
  </hyperlink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cellIs" priority="38" operator="equal" id="{C3AA776D-F27A-417F-9995-80ADD8C78E8A}">
            <xm:f>'(Hidden Sheet)'!$H$1</xm:f>
            <x14:dxf>
              <fill>
                <patternFill>
                  <bgColor theme="5" tint="0.39994506668294322"/>
                </patternFill>
              </fill>
            </x14:dxf>
          </x14:cfRule>
          <x14:cfRule type="cellIs" priority="39" operator="equal" id="{476891E2-B002-4083-B472-9F132152DD82}">
            <xm:f>'(Hidden Sheet)'!$H$2</xm:f>
            <x14:dxf>
              <fill>
                <patternFill>
                  <bgColor theme="7" tint="0.59996337778862885"/>
                </patternFill>
              </fill>
            </x14:dxf>
          </x14:cfRule>
          <x14:cfRule type="cellIs" priority="40" operator="equal" id="{9924CBA9-E4FE-400D-9FCF-9414E6F1E27F}">
            <xm:f>'(Hidden Sheet)'!$H$3</xm:f>
            <x14:dxf>
              <fill>
                <patternFill>
                  <bgColor theme="9" tint="0.59996337778862885"/>
                </patternFill>
              </fill>
            </x14:dxf>
          </x14:cfRule>
          <xm:sqref>A21</xm:sqref>
        </x14:conditionalFormatting>
        <x14:conditionalFormatting xmlns:xm="http://schemas.microsoft.com/office/excel/2006/main">
          <x14:cfRule type="cellIs" priority="42" operator="equal" id="{214855CB-01A1-421F-8372-23131EEB5D00}">
            <xm:f>'(Hidden Sheet)'!$H$1</xm:f>
            <x14:dxf>
              <fill>
                <patternFill>
                  <bgColor theme="5" tint="0.39994506668294322"/>
                </patternFill>
              </fill>
            </x14:dxf>
          </x14:cfRule>
          <x14:cfRule type="cellIs" priority="43" operator="equal" id="{158FA035-2BDC-4012-B31E-5769BC8F4227}">
            <xm:f>'(Hidden Sheet)'!$H$2</xm:f>
            <x14:dxf>
              <fill>
                <patternFill>
                  <bgColor theme="7" tint="0.59996337778862885"/>
                </patternFill>
              </fill>
            </x14:dxf>
          </x14:cfRule>
          <x14:cfRule type="cellIs" priority="44" operator="equal" id="{EE4F6ADA-0D73-4FDA-9C27-290FE6A925BB}">
            <xm:f>'(Hidden Sheet)'!$H$3</xm:f>
            <x14:dxf>
              <fill>
                <patternFill>
                  <bgColor theme="9" tint="0.59996337778862885"/>
                </patternFill>
              </fill>
            </x14:dxf>
          </x14:cfRule>
          <xm:sqref>A20</xm:sqref>
        </x14:conditionalFormatting>
        <x14:conditionalFormatting xmlns:xm="http://schemas.microsoft.com/office/excel/2006/main">
          <x14:cfRule type="cellIs" priority="18" operator="equal" id="{4F0D0C10-EEF1-4FCC-BDE2-E57AE9CEB80E}">
            <xm:f>'(Hidden Sheet)'!$H$1</xm:f>
            <x14:dxf>
              <fill>
                <patternFill>
                  <bgColor theme="5" tint="0.39994506668294322"/>
                </patternFill>
              </fill>
            </x14:dxf>
          </x14:cfRule>
          <x14:cfRule type="cellIs" priority="19" operator="equal" id="{89F05F8D-620C-4F4F-BD35-F5423EFEC422}">
            <xm:f>'(Hidden Sheet)'!$H$2</xm:f>
            <x14:dxf>
              <fill>
                <patternFill>
                  <bgColor theme="7" tint="0.59996337778862885"/>
                </patternFill>
              </fill>
            </x14:dxf>
          </x14:cfRule>
          <x14:cfRule type="cellIs" priority="20" operator="equal" id="{F9EFEBCF-7118-4E5C-8D2A-91522B7AF673}">
            <xm:f>'(Hidden Sheet)'!$H$3</xm:f>
            <x14:dxf>
              <fill>
                <patternFill>
                  <bgColor theme="9" tint="0.59996337778862885"/>
                </patternFill>
              </fill>
            </x14:dxf>
          </x14:cfRule>
          <xm:sqref>A23</xm:sqref>
        </x14:conditionalFormatting>
        <x14:conditionalFormatting xmlns:xm="http://schemas.microsoft.com/office/excel/2006/main">
          <x14:cfRule type="cellIs" priority="10" operator="equal" id="{E455F53B-249F-4DA4-B4B5-E33A0FF30800}">
            <xm:f>'(Hidden Sheet)'!$H$1</xm:f>
            <x14:dxf>
              <fill>
                <patternFill>
                  <bgColor theme="5" tint="0.39994506668294322"/>
                </patternFill>
              </fill>
            </x14:dxf>
          </x14:cfRule>
          <x14:cfRule type="cellIs" priority="11" operator="equal" id="{6B543C89-8844-428C-A751-92836EDC6E7A}">
            <xm:f>'(Hidden Sheet)'!$H$2</xm:f>
            <x14:dxf>
              <fill>
                <patternFill>
                  <bgColor theme="7" tint="0.59996337778862885"/>
                </patternFill>
              </fill>
            </x14:dxf>
          </x14:cfRule>
          <x14:cfRule type="cellIs" priority="12" operator="equal" id="{83FD8D6F-6697-4500-979F-03374FB6ACC2}">
            <xm:f>'(Hidden Sheet)'!$H$3</xm:f>
            <x14:dxf>
              <fill>
                <patternFill>
                  <bgColor theme="9" tint="0.59996337778862885"/>
                </patternFill>
              </fill>
            </x14:dxf>
          </x14:cfRule>
          <xm:sqref>A25</xm:sqref>
        </x14:conditionalFormatting>
        <x14:conditionalFormatting xmlns:xm="http://schemas.microsoft.com/office/excel/2006/main">
          <x14:cfRule type="cellIs" priority="14" operator="equal" id="{48AC9FA3-12B5-4699-803B-C867AB651DDC}">
            <xm:f>'(Hidden Sheet)'!$H$1</xm:f>
            <x14:dxf>
              <fill>
                <patternFill>
                  <bgColor theme="5" tint="0.39994506668294322"/>
                </patternFill>
              </fill>
            </x14:dxf>
          </x14:cfRule>
          <x14:cfRule type="cellIs" priority="15" operator="equal" id="{FD7D1859-15A6-430E-B6EB-7FBEF18A30B0}">
            <xm:f>'(Hidden Sheet)'!$H$2</xm:f>
            <x14:dxf>
              <fill>
                <patternFill>
                  <bgColor theme="7" tint="0.59996337778862885"/>
                </patternFill>
              </fill>
            </x14:dxf>
          </x14:cfRule>
          <x14:cfRule type="cellIs" priority="16" operator="equal" id="{FF14D12C-D8D0-4BBC-8E65-3530AA86CB86}">
            <xm:f>'(Hidden Sheet)'!$H$3</xm:f>
            <x14:dxf>
              <fill>
                <patternFill>
                  <bgColor theme="9" tint="0.59996337778862885"/>
                </patternFill>
              </fill>
            </x14:dxf>
          </x14:cfRule>
          <xm:sqref>A24</xm:sqref>
        </x14:conditionalFormatting>
        <x14:conditionalFormatting xmlns:xm="http://schemas.microsoft.com/office/excel/2006/main">
          <x14:cfRule type="cellIs" priority="6" operator="equal" id="{320B997E-5465-48E0-9D50-8D3D1597EEDB}">
            <xm:f>'(Hidden Sheet)'!$H$1</xm:f>
            <x14:dxf>
              <fill>
                <patternFill>
                  <bgColor theme="5" tint="0.39994506668294322"/>
                </patternFill>
              </fill>
            </x14:dxf>
          </x14:cfRule>
          <x14:cfRule type="cellIs" priority="7" operator="equal" id="{1235E5D9-F00E-46C7-B832-055D38A5FFFE}">
            <xm:f>'(Hidden Sheet)'!$H$2</xm:f>
            <x14:dxf>
              <fill>
                <patternFill>
                  <bgColor theme="7" tint="0.59996337778862885"/>
                </patternFill>
              </fill>
            </x14:dxf>
          </x14:cfRule>
          <x14:cfRule type="cellIs" priority="8" operator="equal" id="{27DDEFB7-3AD9-4FCB-88B1-C7186C94F054}">
            <xm:f>'(Hidden Sheet)'!$H$3</xm:f>
            <x14:dxf>
              <fill>
                <patternFill>
                  <bgColor theme="9" tint="0.59996337778862885"/>
                </patternFill>
              </fill>
            </x14:dxf>
          </x14:cfRule>
          <xm:sqref>A19</xm:sqref>
        </x14:conditionalFormatting>
        <x14:conditionalFormatting xmlns:xm="http://schemas.microsoft.com/office/excel/2006/main">
          <x14:cfRule type="cellIs" priority="2" operator="equal" id="{B3CFD9F3-EBCF-4BC6-92C2-5DA3428CAB69}">
            <xm:f>'(Hidden Sheet)'!$H$1</xm:f>
            <x14:dxf>
              <fill>
                <patternFill>
                  <bgColor theme="5" tint="0.39994506668294322"/>
                </patternFill>
              </fill>
            </x14:dxf>
          </x14:cfRule>
          <x14:cfRule type="cellIs" priority="3" operator="equal" id="{21B1615F-52DB-4A48-8122-7864E0C6C49F}">
            <xm:f>'(Hidden Sheet)'!$H$2</xm:f>
            <x14:dxf>
              <fill>
                <patternFill>
                  <bgColor theme="7" tint="0.59996337778862885"/>
                </patternFill>
              </fill>
            </x14:dxf>
          </x14:cfRule>
          <x14:cfRule type="cellIs" priority="4" operator="equal" id="{710DC3A7-0C40-4145-B0E6-5E185BB201AD}">
            <xm:f>'(Hidden Sheet)'!$H$3</xm:f>
            <x14:dxf>
              <fill>
                <patternFill>
                  <bgColor theme="9" tint="0.59996337778862885"/>
                </patternFill>
              </fill>
            </x14:dxf>
          </x14:cfRule>
          <xm:sqref>A27</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H13"/>
  <sheetViews>
    <sheetView workbookViewId="0">
      <selection activeCell="C22" sqref="C22"/>
    </sheetView>
  </sheetViews>
  <sheetFormatPr baseColWidth="10" defaultColWidth="8.875" defaultRowHeight="15" x14ac:dyDescent="0"/>
  <cols>
    <col min="1" max="1" width="10.5" style="41" bestFit="1" customWidth="1"/>
    <col min="2" max="2" width="19" style="41" bestFit="1" customWidth="1"/>
    <col min="3" max="3" width="53.625" style="41" customWidth="1"/>
    <col min="4" max="4" width="19.5" style="41" customWidth="1"/>
    <col min="5" max="5" width="63.375" style="50" customWidth="1"/>
    <col min="6" max="6" width="22.5" style="47" customWidth="1"/>
    <col min="7" max="7" width="66" style="47" customWidth="1"/>
    <col min="8" max="8" width="14.5" style="41" customWidth="1"/>
    <col min="9" max="16384" width="8.875" style="42"/>
  </cols>
  <sheetData>
    <row r="1" spans="1:8" ht="45" customHeight="1" thickTop="1" thickBot="1">
      <c r="C1" s="42" t="s">
        <v>503</v>
      </c>
      <c r="D1" s="43" t="s">
        <v>506</v>
      </c>
      <c r="E1" s="46" t="str">
        <f>IF(D1="3rd Party Billing","Work with your billing vendor to produce an extract for AQI. We assume that the extract will include billed ASA code, Anesthesia Type, and other elements that reduce the validation requirements.","")</f>
        <v/>
      </c>
    </row>
    <row r="2" spans="1:8" ht="16" thickTop="1">
      <c r="A2" s="44" t="s">
        <v>477</v>
      </c>
      <c r="B2" s="44" t="s">
        <v>492</v>
      </c>
      <c r="C2" s="44" t="s">
        <v>479</v>
      </c>
      <c r="D2" s="44" t="s">
        <v>478</v>
      </c>
      <c r="E2" s="48" t="s">
        <v>504</v>
      </c>
      <c r="F2" s="49" t="s">
        <v>480</v>
      </c>
      <c r="G2" s="49" t="s">
        <v>507</v>
      </c>
      <c r="H2" s="44" t="s">
        <v>4</v>
      </c>
    </row>
    <row r="3" spans="1:8" ht="30">
      <c r="A3" s="41" t="s">
        <v>8</v>
      </c>
      <c r="B3" s="41" t="s">
        <v>481</v>
      </c>
      <c r="C3" s="41" t="s">
        <v>494</v>
      </c>
      <c r="D3" s="45" t="s">
        <v>482</v>
      </c>
      <c r="E3" s="46" t="str">
        <f>"89005, 89043"&amp;IF(D1="Epic Anesthesia PB",", 89040","")</f>
        <v>89005, 89043, 89040</v>
      </c>
      <c r="F3" s="47" t="str">
        <f>IF(AND(INDEX('Metric Details'!H:H,MATCH(89005,'Metric Details'!C:C,0))&lt;&gt;0,INDEX('Metric Details'!H:H,MATCH(89043,'Metric Details'!C:C,0))&lt;&gt;0,OR($D$1="3rd Party Billing",INDEX('Metric Details'!H:H,MATCH(89040,'Metric Details'!C:C,0))&lt;&gt;0)),"Ready","Configuration Needed")</f>
        <v>Configuration Needed</v>
      </c>
      <c r="G3" s="47" t="str">
        <f>MID(IF(INDEX('Metric Details'!H:H,MATCH(89005,'Metric Details'!C:C,0))&lt;&gt;0,"",", 89005")&amp;IF(INDEX('Metric Details'!H:H,MATCH(89043,'Metric Details'!C:C,0))&lt;&gt;0,"",", 89043")&amp;IF(AND($D$1="Epic Anesthesia PB",INDEX('Metric Details'!H:H,MATCH(89040,'Metric Details'!C:C,0))=0),", 89040",""),3,3000)</f>
        <v>89005, 89043, 89040</v>
      </c>
    </row>
    <row r="4" spans="1:8" ht="30">
      <c r="A4" s="41" t="s">
        <v>8</v>
      </c>
      <c r="B4" s="41" t="s">
        <v>483</v>
      </c>
      <c r="C4" s="41" t="s">
        <v>493</v>
      </c>
      <c r="D4" s="45" t="s">
        <v>482</v>
      </c>
      <c r="E4" s="46" t="str">
        <f>"89058, 89059, 89061, 89062, 89063, 89064, 89065, 89066, 89067, 89068, 89069, 89070, 89120, 89121, 89052"&amp;IF(D1="Epic Anesthesia PB",", 89040","")</f>
        <v>89058, 89059, 89061, 89062, 89063, 89064, 89065, 89066, 89067, 89068, 89069, 89070, 89120, 89121, 89052, 89040</v>
      </c>
      <c r="F4" s="47" t="str">
        <f>IF(AND(INDEX('Metric Details'!H:H,MATCH(89058,'Metric Details'!C:C,0))&lt;&gt;0,INDEX('Metric Details'!H:H,MATCH(89059,'Metric Details'!C:C,0))&lt;&gt;0,INDEX('Metric Details'!H:H,MATCH(89061,'Metric Details'!C:C,0))&lt;&gt;0,INDEX('Metric Details'!H:H,MATCH(89062,'Metric Details'!C:C,0))&lt;&gt;0,INDEX('Metric Details'!H:H,MATCH(89063,'Metric Details'!C:C,0))&lt;&gt;0,INDEX('Metric Details'!H:H,MATCH(89064,'Metric Details'!C:C,0))&lt;&gt;0,INDEX('Metric Details'!H:H,MATCH(89065,'Metric Details'!C:C,0))&lt;&gt;0,INDEX('Metric Details'!H:H,MATCH(89066,'Metric Details'!C:C,0))&lt;&gt;0,INDEX('Metric Details'!H:H,MATCH(89067,'Metric Details'!C:C,0))&lt;&gt;0,INDEX('Metric Details'!H:H,MATCH(89068,'Metric Details'!C:C,0))&lt;&gt;0,INDEX('Metric Details'!H:H,MATCH(89069,'Metric Details'!C:C,0))&lt;&gt;0,INDEX('Metric Details'!H:H,MATCH(89070,'Metric Details'!C:C,0))&lt;&gt;0,INDEX('Metric Details'!H:H,MATCH(89120,'Metric Details'!C:C,0))&lt;&gt;0,INDEX('Metric Details'!H:H,MATCH(89121,'Metric Details'!C:C,0))&lt;&gt;0,INDEX('Metric Details'!H:H,MATCH(89052,'Metric Details'!C:C,0))&lt;&gt;0,OR($D$1="3rd Party Billing",INDEX('Metric Details'!H:H,MATCH(89040,'Metric Details'!C:C,0))&lt;&gt;0)),"Ready","Configuration Needed")</f>
        <v>Configuration Needed</v>
      </c>
      <c r="G4" s="47" t="str">
        <f>MID(IF(INDEX('Metric Details'!H:H,MATCH(89058,'Metric Details'!C:C,0))&lt;&gt;0,"",", 89058")&amp;IF(INDEX('Metric Details'!H:H,MATCH(89059,'Metric Details'!C:C,0))&lt;&gt;0,"",", 89059")&amp;IF(INDEX('Metric Details'!H:H,MATCH(89060,'Metric Details'!C:C,0))&lt;&gt;0,"",", 89060")&amp;IF(INDEX('Metric Details'!H:H,MATCH(89061,'Metric Details'!C:C,0))&lt;&gt;0,"",", 89061")&amp;IF(INDEX('Metric Details'!H:H,MATCH(89062,'Metric Details'!C:C,0))&lt;&gt;0,"",", 89062")&amp;IF(INDEX('Metric Details'!H:H,MATCH(89063,'Metric Details'!C:C,0))&lt;&gt;0,"",", 89063")&amp;IF(INDEX('Metric Details'!H:H,MATCH(89064,'Metric Details'!C:C,0))&lt;&gt;0,"",", 89064")&amp;IF(INDEX('Metric Details'!H:H,MATCH(89065,'Metric Details'!C:C,0))&lt;&gt;0,"",", 89065")&amp;IF(INDEX('Metric Details'!H:H,MATCH(89066,'Metric Details'!C:C,0))&lt;&gt;0,"",", 89066")&amp;IF(INDEX('Metric Details'!H:H,MATCH(89067,'Metric Details'!C:C,0))&lt;&gt;0,"",", 89067")&amp;IF(INDEX('Metric Details'!H:H,MATCH(89068,'Metric Details'!C:C,0))&lt;&gt;0,"",", 89068")&amp;IF(INDEX('Metric Details'!H:H,MATCH(89069,'Metric Details'!C:C,0))&lt;&gt;0,"",", 89069")&amp;IF(INDEX('Metric Details'!H:H,MATCH(89070,'Metric Details'!C:C,0))&lt;&gt;0,"",", 89070")&amp;IF(INDEX('Metric Details'!H:H,MATCH(89120,'Metric Details'!C:C,0))&lt;&gt;0,"",", 89120")&amp;IF(INDEX('Metric Details'!H:H,MATCH(89121,'Metric Details'!C:C,0))&lt;&gt;0,"",", 89121")&amp;IF(INDEX('Metric Details'!H:H,MATCH(89052,'Metric Details'!C:C,0))&lt;&gt;0,"",", 89052")&amp;IF(AND($D$1="Epic Anesthesia PB",INDEX('Metric Details'!H:H,MATCH(89040,'Metric Details'!C:C,0))=0),", 89040",""),3,3000)</f>
        <v>89058, 89059, 89060, 89061, 89062, 89063, 89064, 89065, 89066, 89067, 89068, 89069, 89070, 89120, 89121, 89052, 89040</v>
      </c>
    </row>
    <row r="5" spans="1:8" ht="32.25" customHeight="1">
      <c r="A5" s="41" t="s">
        <v>8</v>
      </c>
      <c r="B5" s="41" t="s">
        <v>484</v>
      </c>
      <c r="C5" s="41" t="s">
        <v>495</v>
      </c>
      <c r="D5" s="45" t="s">
        <v>482</v>
      </c>
      <c r="E5" s="46" t="str">
        <f>"89058, 89059, 89060, 89061, 89062, 89063, 89064, 89065, 89066, 89067, 89068, 89069, 89070, 89071, 89121, 84046, 89052"&amp;IF(D1="Epic Anesthesia PB",", 89072 or 89094, 89040","")</f>
        <v>89058, 89059, 89060, 89061, 89062, 89063, 89064, 89065, 89066, 89067, 89068, 89069, 89070, 89071, 89121, 84046, 89052, 89072 or 89094, 89040</v>
      </c>
      <c r="F5" s="47" t="str">
        <f>IF(AND(INDEX('Metric Details'!H:H,MATCH(89058,'Metric Details'!C:C,0))&lt;&gt;0,INDEX('Metric Details'!H:H,MATCH(89059,'Metric Details'!C:C,0))&lt;&gt;0,INDEX('Metric Details'!H:H,MATCH(89060,'Metric Details'!C:C,0))&lt;&gt;0,INDEX('Metric Details'!H:H,MATCH(89061,'Metric Details'!C:C,0))&lt;&gt;0,INDEX('Metric Details'!H:H,MATCH(89062,'Metric Details'!C:C,0))&lt;&gt;0,INDEX('Metric Details'!H:H,MATCH(89063,'Metric Details'!C:C,0))&lt;&gt;0,INDEX('Metric Details'!H:H,MATCH(89064,'Metric Details'!C:C,0))&lt;&gt;0,INDEX('Metric Details'!H:H,MATCH(89065,'Metric Details'!C:C,0))&lt;&gt;0,INDEX('Metric Details'!H:H,MATCH(89066,'Metric Details'!C:C,0))&lt;&gt;0,INDEX('Metric Details'!H:H,MATCH(89067,'Metric Details'!C:C,0))&lt;&gt;0,INDEX('Metric Details'!H:H,MATCH(89068,'Metric Details'!C:C,0))&lt;&gt;0,INDEX('Metric Details'!H:H,MATCH(89069,'Metric Details'!C:C,0))&lt;&gt;0,INDEX('Metric Details'!H:H,MATCH(89070,'Metric Details'!C:C,0))&lt;&gt;0,INDEX('Metric Details'!H:H,MATCH(89071,'Metric Details'!C:C,0))&lt;&gt;0,INDEX('Metric Details'!H:H,MATCH(89121,'Metric Details'!C:C,0))&lt;&gt;0,INDEX('Metric Details'!H:H,MATCH(89046,'Metric Details'!C:C,0))&lt;&gt;0,INDEX('Metric Details'!H:H,MATCH(89052,'Metric Details'!C:C,0))&lt;&gt;0,OR($D$1="3rd Party Billing",INDEX('Metric Details'!H:H,MATCH(89072,'Metric Details'!C:C,0))&lt;&gt;0,INDEX('Metric Details'!H:H,MATCH(89094,'Metric Details'!C:C,0))&lt;&gt;0),OR($D$1="3rd Party Billing",INDEX('Metric Details'!H:H,MATCH(89040,'Metric Details'!C:C,0))&lt;&gt;0)),"Ready","Configuration Needed")</f>
        <v>Configuration Needed</v>
      </c>
      <c r="G5" s="47" t="str">
        <f>MID(IF(INDEX('Metric Details'!H:H,MATCH(89058,'Metric Details'!C:C,0))&lt;&gt;0,"",", 89058")&amp;IF(INDEX('Metric Details'!H:H,MATCH(89059,'Metric Details'!C:C,0))&lt;&gt;0,"",", 89059")&amp;IF(INDEX('Metric Details'!H:H,MATCH(89060,'Metric Details'!C:C,0))&lt;&gt;0,"",", 89060")&amp;IF(INDEX('Metric Details'!H:H,MATCH(89061,'Metric Details'!C:C,0))&lt;&gt;0,"",", 89061")&amp;IF(INDEX('Metric Details'!H:H,MATCH(89062,'Metric Details'!C:C,0))&lt;&gt;0,"",", 89062")&amp;IF(INDEX('Metric Details'!H:H,MATCH(89063,'Metric Details'!C:C,0))&lt;&gt;0,"",", 89063")&amp;IF(INDEX('Metric Details'!H:H,MATCH(89064,'Metric Details'!C:C,0))&lt;&gt;0,"",", 89064")&amp;IF(INDEX('Metric Details'!H:H,MATCH(89065,'Metric Details'!C:C,0))&lt;&gt;0,"",", 89065")&amp;IF(INDEX('Metric Details'!H:H,MATCH(89066,'Metric Details'!C:C,0))&lt;&gt;0,"",", 89066")&amp;IF(INDEX('Metric Details'!H:H,MATCH(89067,'Metric Details'!C:C,0))&lt;&gt;0,"",", 89067")&amp;IF(INDEX('Metric Details'!H:H,MATCH(89068,'Metric Details'!C:C,0))&lt;&gt;0,"",", 89068")&amp;IF(INDEX('Metric Details'!H:H,MATCH(89069,'Metric Details'!C:C,0))&lt;&gt;0,"",", 89069")&amp;IF(INDEX('Metric Details'!H:H,MATCH(89070,'Metric Details'!C:C,0))&lt;&gt;0,"",", 89070")&amp;IF(INDEX('Metric Details'!H:H,MATCH(89070,'Metric Details'!C:C,0))&lt;&gt;0,"",", 89071")&amp;IF(INDEX('Metric Details'!H:H,MATCH(89121,'Metric Details'!C:C,0))&lt;&gt;0,"",", 89121")&amp;IF(INDEX('Metric Details'!H:H,MATCH(89046,'Metric Details'!C:C,0))&lt;&gt;0,"",", 89046")&amp;IF(INDEX('Metric Details'!H:H,MATCH(89052,'Metric Details'!C:C,0))&lt;&gt;0,"",", 89052")&amp;IF(AND($D$1="Epic Anesthesia PB",INDEX('Metric Details'!H:H,MATCH(89072,'Metric Details'!C:C,0))=0,INDEX('Metric Details'!H:H,MATCH(89094,'Metric Details'!C:C,0))=0),", 89072 or 89094","")&amp;IF(AND($D$1="Epic Anesthesia PB",INDEX('Metric Details'!H:H,MATCH(89040,'Metric Details'!C:C,0))=0),", 89040",""),3,3000)</f>
        <v>89058, 89059, 89060, 89061, 89062, 89063, 89064, 89065, 89066, 89067, 89068, 89069, 89070, 89071, 89121, 89046, 89052, 89072 or 89094, 89040</v>
      </c>
    </row>
    <row r="6" spans="1:8" ht="30">
      <c r="A6" s="41" t="s">
        <v>8</v>
      </c>
      <c r="B6" s="41" t="s">
        <v>485</v>
      </c>
      <c r="C6" s="41" t="s">
        <v>496</v>
      </c>
      <c r="D6" s="45" t="s">
        <v>482</v>
      </c>
      <c r="E6" s="46" t="str">
        <f>"89005, 89076"&amp;IF(D1="Epic Anesthesia PB",", 89040","")</f>
        <v>89005, 89076, 89040</v>
      </c>
      <c r="F6" s="47" t="str">
        <f>IF(AND(INDEX('Metric Details'!H:H,MATCH(89005,'Metric Details'!C:C,0))&lt;&gt;0,INDEX('Metric Details'!H:H,MATCH(89076,'Metric Details'!C:C,0))&lt;&gt;0,OR($D$1="3rd Party Billing",INDEX('Metric Details'!H:H,MATCH(89040,'Metric Details'!C:C,0))&lt;&gt;0)),"Ready","Configuration Needed")</f>
        <v>Configuration Needed</v>
      </c>
      <c r="G6" s="47" t="str">
        <f>MID(IF(INDEX('Metric Details'!H:H,MATCH(89005,'Metric Details'!C:C,0))&lt;&gt;0,"",", 89005")&amp;IF(INDEX('Metric Details'!H:H,MATCH(89076,'Metric Details'!C:C,0))&lt;&gt;0,"",", 89076")&amp;IF(AND($D$1="Epic Anesthesia PB",INDEX('Metric Details'!H:H,MATCH(89040,'Metric Details'!C:C,0))=0),", 89040",""),3,3000)</f>
        <v>89005, 89076, 89040</v>
      </c>
    </row>
    <row r="7" spans="1:8">
      <c r="A7" s="41" t="s">
        <v>8</v>
      </c>
      <c r="B7" s="41" t="s">
        <v>486</v>
      </c>
      <c r="C7" s="41" t="s">
        <v>497</v>
      </c>
      <c r="D7" s="45" t="s">
        <v>482</v>
      </c>
      <c r="E7" s="46" t="str">
        <f>"89032, 89035, 89036, 89037, 89042"&amp;IF(D1="Epic Anesthesia PB",", 89040","")</f>
        <v>89032, 89035, 89036, 89037, 89042, 89040</v>
      </c>
      <c r="F7" s="47" t="str">
        <f>IF(AND(INDEX('Metric Details'!H:H,MATCH(89032,'Metric Details'!C:C,0))&lt;&gt;0,INDEX('Metric Details'!H:H,MATCH(89035,'Metric Details'!C:C,0))&lt;&gt;0,INDEX('Metric Details'!H:H,MATCH(89036,'Metric Details'!C:C,0))&lt;&gt;0,INDEX('Metric Details'!H:H,MATCH(89037,'Metric Details'!C:C,0))&lt;&gt;0,INDEX('Metric Details'!H:H,MATCH(89042,'Metric Details'!C:C,0))&lt;&gt;0,OR($D$1="3rd Party Billing",INDEX('Metric Details'!H:H,MATCH(89040,'Metric Details'!C:C,0))&lt;&gt;0)),"Ready","Configuration Needed")</f>
        <v>Configuration Needed</v>
      </c>
      <c r="G7" s="47" t="str">
        <f>MID(IF(INDEX('Metric Details'!H:H,MATCH(89032,'Metric Details'!C:C,0))&lt;&gt;0,"",", 89032")&amp;IF(INDEX('Metric Details'!H:H,MATCH(89035,'Metric Details'!C:C,0))&lt;&gt;0,"",", 89035")&amp;IF(INDEX('Metric Details'!H:H,MATCH(89036,'Metric Details'!C:C,0))&lt;&gt;0,"",", 89036")&amp;IF(INDEX('Metric Details'!H:H,MATCH(89037,'Metric Details'!C:C,0))&lt;&gt;0,"",", 89037")&amp;IF(INDEX('Metric Details'!H:H,MATCH(89042,'Metric Details'!C:C,0))&lt;&gt;0,"",", 89042")&amp;IF(AND($D$1="Epic Anesthesia PB",INDEX('Metric Details'!H:H,MATCH(89040,'Metric Details'!C:C,0))=0),", 89040",""),3,3000)</f>
        <v>89032, 89035, 89036, 89037, 89042, 89040</v>
      </c>
    </row>
    <row r="8" spans="1:8">
      <c r="A8" s="41" t="s">
        <v>8</v>
      </c>
      <c r="B8" s="41" t="s">
        <v>487</v>
      </c>
      <c r="C8" s="41" t="s">
        <v>498</v>
      </c>
      <c r="D8" s="45" t="s">
        <v>482</v>
      </c>
      <c r="E8" s="46" t="str">
        <f>"89032, 89033, 89034"&amp;IF(D1="Epic Anesthesia PB",", 89119 or 89056, 89040","")</f>
        <v>89032, 89033, 89034, 89119 or 89056, 89040</v>
      </c>
      <c r="F8" s="47" t="str">
        <f>IF(AND(INDEX('Metric Details'!H:H,MATCH(89032,'Metric Details'!C:C,0))&lt;&gt;0,INDEX('Metric Details'!H:H,MATCH(89033,'Metric Details'!C:C,0))&lt;&gt;0,INDEX('Metric Details'!H:H,MATCH(89034,'Metric Details'!C:C,0))&lt;&gt;0,OR($D$1="3rd Party Billing",INDEX('Metric Details'!H:H,MATCH(89119,'Metric Details'!C:C,0))&lt;&gt;0,INDEX('Metric Details'!H:H,MATCH(89056,'Metric Details'!C:C,0))&lt;&gt;0),OR($D$1="3rd Party Billing",INDEX('Metric Details'!H:H,MATCH(89040,'Metric Details'!C:C,0))&lt;&gt;0)),"Ready","Configuration Needed")</f>
        <v>Configuration Needed</v>
      </c>
      <c r="G8" s="47" t="str">
        <f>MID(IF(INDEX('Metric Details'!H:H,MATCH(89032,'Metric Details'!C:C,0))&lt;&gt;0,"",", 89032")&amp;IF(INDEX('Metric Details'!H:H,MATCH(89033,'Metric Details'!C:C,0))&lt;&gt;0,"",", 89033")&amp;IF(INDEX('Metric Details'!H:H,MATCH(89034,'Metric Details'!C:C,0))&lt;&gt;0,"",", 89034")&amp;IF(AND($D$1="Epic Anesthesia PB",INDEX('Metric Details'!H:H,MATCH(89119,'Metric Details'!C:C,0))=0,INDEX('Metric Details'!H:H,MATCH(89056,'Metric Details'!C:C,0))=0),", 89056 or 89119","")&amp;IF(AND($D$1="Epic Anesthesia PB",INDEX('Metric Details'!H:H,MATCH(89040,'Metric Details'!C:C,0))=0),", 89040",""),3,3000)</f>
        <v>89032, 89033, 89034, 89056 or 89119, 89040</v>
      </c>
    </row>
    <row r="9" spans="1:8">
      <c r="A9" s="41" t="s">
        <v>8</v>
      </c>
      <c r="B9" s="41" t="s">
        <v>488</v>
      </c>
      <c r="C9" s="41" t="s">
        <v>499</v>
      </c>
      <c r="D9" s="45" t="s">
        <v>482</v>
      </c>
      <c r="E9" s="46" t="str">
        <f>"89035, 89036"&amp;IF(D1="Epic Anesthesia PB",", 89119 or 89056, 89118 or 89055, 89040","")</f>
        <v>89035, 89036, 89119 or 89056, 89118 or 89055, 89040</v>
      </c>
      <c r="F9" s="47" t="str">
        <f>IF(AND(INDEX('Metric Details'!H:H,MATCH(89035,'Metric Details'!C:C,0))&lt;&gt;0,INDEX('Metric Details'!H:H,MATCH(89036,'Metric Details'!C:C,0))&lt;&gt;0,INDEX('Metric Details'!H:H,MATCH(89034,'Metric Details'!C:C,0))&lt;&gt;0,OR($D$1="3rd Party Billing",INDEX('Metric Details'!H:H,MATCH(89119,'Metric Details'!C:C,0))&lt;&gt;0,INDEX('Metric Details'!H:H,MATCH(89056,'Metric Details'!C:C,0))&lt;&gt;0),OR($D$1="3rd Party Billing",INDEX('Metric Details'!H:H,MATCH(89055,'Metric Details'!C:C,0))&lt;&gt;0,INDEX('Metric Details'!H:H,MATCH(89045,'Metric Details'!C:C,0))&lt;&gt;0),OR($D$1="3rd Party Billing",INDEX('Metric Details'!H:H,MATCH(89040,'Metric Details'!C:C,0))&lt;&gt;0)),"Ready","Configuration Needed")</f>
        <v>Configuration Needed</v>
      </c>
      <c r="G9" s="47" t="str">
        <f>MID(IF(INDEX('Metric Details'!H:H,MATCH(89035,'Metric Details'!C:C,0))&lt;&gt;0,"",", 89035")&amp;IF(INDEX('Metric Details'!H:H,MATCH(89036,'Metric Details'!C:C,0))&lt;&gt;0,"",", 89036")&amp;IF(AND($D$1="Epic Anesthesia PB",INDEX('Metric Details'!H:H,MATCH(89119,'Metric Details'!C:C,0))=0,INDEX('Metric Details'!H:H,MATCH(89056,'Metric Details'!C:C,0))=0),", 89056 or 89119","")&amp;IF(AND($D$1="Epic Anesthesia PB",INDEX('Metric Details'!H:H,MATCH(89118,'Metric Details'!C:C,0))=0,INDEX('Metric Details'!H:H,MATCH(89055,'Metric Details'!C:C,0))=0),", 89118 or 89055","")&amp;IF(AND($D$1="Epic Anesthesia PB",INDEX('Metric Details'!H:H,MATCH(89040,'Metric Details'!C:C,0))=0),", 89040",""),3,3000)</f>
        <v>89035, 89036, 89056 or 89119, 89118 or 89055, 89040</v>
      </c>
    </row>
    <row r="10" spans="1:8">
      <c r="A10" s="41" t="s">
        <v>8</v>
      </c>
      <c r="B10" s="41" t="s">
        <v>489</v>
      </c>
      <c r="C10" s="41" t="s">
        <v>500</v>
      </c>
      <c r="D10" s="45" t="s">
        <v>482</v>
      </c>
      <c r="E10" s="46" t="str">
        <f>"89042, 89044, 89048, 89043"&amp;IF(D1="Epic Anesthesia PB",", 89040","")</f>
        <v>89042, 89044, 89048, 89043, 89040</v>
      </c>
      <c r="F10" s="47" t="str">
        <f>IF(AND(INDEX('Metric Details'!H:H,MATCH(89042,'Metric Details'!C:C,0))&lt;&gt;0,INDEX('Metric Details'!H:H,MATCH(89044,'Metric Details'!C:C,0))&lt;&gt;0,INDEX('Metric Details'!H:H,MATCH(89048,'Metric Details'!C:C,0))&lt;&gt;0,INDEX('Metric Details'!H:H,MATCH(89043,'Metric Details'!C:C,0))&lt;&gt;0,OR($D$1="3rd Party Billing",INDEX('Metric Details'!H:H,MATCH(89040,'Metric Details'!C:C,0))&lt;&gt;0)),"Ready","Configuration Needed")</f>
        <v>Configuration Needed</v>
      </c>
      <c r="G10" s="47" t="str">
        <f>MID(IF(INDEX('Metric Details'!H:H,MATCH(89042,'Metric Details'!C:C,0))&lt;&gt;0,"",", 89042")&amp;IF(INDEX('Metric Details'!H:H,MATCH(89044,'Metric Details'!C:C,0))&lt;&gt;0,"",", 89044")&amp;IF(INDEX('Metric Details'!H:H,MATCH(89048,'Metric Details'!C:C,0))&lt;&gt;0,"",", 89048")&amp;IF(INDEX('Metric Details'!H:H,MATCH(89043,'Metric Details'!C:C,0))&lt;&gt;0,"",", 89043")&amp;IF(AND($D$1="Epic Anesthesia PB",INDEX('Metric Details'!H:H,MATCH(89040,'Metric Details'!C:C,0))=0),", 89040",""),3,3000)</f>
        <v>89042, 89044, 89048, 89043, 89040</v>
      </c>
    </row>
    <row r="11" spans="1:8">
      <c r="A11" s="41" t="s">
        <v>8</v>
      </c>
      <c r="B11" s="41" t="s">
        <v>490</v>
      </c>
      <c r="C11" s="41" t="s">
        <v>501</v>
      </c>
      <c r="D11" s="45" t="s">
        <v>482</v>
      </c>
      <c r="E11" s="46" t="str">
        <f>"89023, 89025, 89027, 89028, 89029, 89052, 89019"&amp;IF(D1="Epic Anesthesia PB",", 89040","")</f>
        <v>89023, 89025, 89027, 89028, 89029, 89052, 89019, 89040</v>
      </c>
      <c r="F11" s="47" t="str">
        <f>IF(AND(INDEX('Metric Details'!H:H,MATCH(89023,'Metric Details'!C:C,0))&lt;&gt;0,INDEX('Metric Details'!H:H,MATCH(89025,'Metric Details'!C:C,0))&lt;&gt;0,INDEX('Metric Details'!H:H,MATCH(89027,'Metric Details'!C:C,0))&lt;&gt;0,INDEX('Metric Details'!H:H,MATCH(89028,'Metric Details'!C:C,0))&lt;&gt;0,INDEX('Metric Details'!H:H,MATCH(89029,'Metric Details'!C:C,0))&lt;&gt;0,INDEX('Metric Details'!H:H,MATCH(89052,'Metric Details'!C:C,0))&lt;&gt;0,INDEX('Metric Details'!H:H,MATCH(89019,'Metric Details'!C:C,0))&lt;&gt;0,OR($D$1="3rd Party Billing",INDEX('Metric Details'!H:H,MATCH(89040,'Metric Details'!C:C,0))&lt;&gt;0)),"Ready","Configuration Needed")</f>
        <v>Configuration Needed</v>
      </c>
      <c r="G11" s="47" t="str">
        <f>MID(IF(INDEX('Metric Details'!H:H,MATCH(89023,'Metric Details'!C:C,0))&lt;&gt;0,"",", 89023")&amp;IF(INDEX('Metric Details'!H:H,MATCH(89025,'Metric Details'!C:C,0))&lt;&gt;0,"",", 89025")&amp;IF(INDEX('Metric Details'!H:H,MATCH(89027,'Metric Details'!C:C,0))&lt;&gt;0,"",", 89027")&amp;IF(INDEX('Metric Details'!H:H,MATCH(89028,'Metric Details'!C:C,0))&lt;&gt;0,"",", 89028")&amp;IF(INDEX('Metric Details'!H:H,MATCH(89029,'Metric Details'!C:C,0))&lt;&gt;0,"",", 89029")&amp;IF(INDEX('Metric Details'!H:H,MATCH(89052,'Metric Details'!C:C,0))&lt;&gt;0,"",", 89052")&amp;IF(INDEX('Metric Details'!H:H,MATCH(89019,'Metric Details'!C:C,0))&lt;&gt;0,"",", 89019")&amp;IF(AND($D$1="Epic Anesthesia PB",INDEX('Metric Details'!H:H,MATCH(89040,'Metric Details'!C:C,0))=0),", 89040",""),3,3000)</f>
        <v>89023, 89025, 89027, 89028, 89029, 89052, 89019, 89040</v>
      </c>
    </row>
    <row r="12" spans="1:8">
      <c r="A12" s="41" t="s">
        <v>8</v>
      </c>
      <c r="B12" s="41" t="s">
        <v>491</v>
      </c>
      <c r="C12" s="41" t="s">
        <v>502</v>
      </c>
      <c r="D12" s="45" t="s">
        <v>482</v>
      </c>
      <c r="E12" s="46" t="str">
        <f>"89024, 89026"&amp;IF(D1="Epic Anesthesia PB",", 89056 or 89119, 89040","")</f>
        <v>89024, 89026, 89056 or 89119, 89040</v>
      </c>
      <c r="F12" s="47" t="str">
        <f>IF(AND(INDEX('Metric Details'!H:H,MATCH(89024,'Metric Details'!C:C,0))&lt;&gt;0,INDEX('Metric Details'!H:H,MATCH(89026,'Metric Details'!C:C,0))&lt;&gt;0,OR($D$1="3rd Party Billing",INDEX('Metric Details'!H:H,MATCH(89056,'Metric Details'!C:C,0))&lt;&gt;0,INDEX('Metric Details'!H:H,MATCH(89119,'Metric Details'!C:C,0))&lt;&gt;0),OR($D$1="3rd Party Billing",INDEX('Metric Details'!H:H,MATCH(89040,'Metric Details'!C:C,0))&lt;&gt;0)),"Ready","Configuration Needed")</f>
        <v>Configuration Needed</v>
      </c>
      <c r="G12" s="47" t="str">
        <f>MID(IF(INDEX('Metric Details'!H:H,MATCH(89024,'Metric Details'!C:C,0))&lt;&gt;0,"",", 89024")&amp;IF(INDEX('Metric Details'!H:H,MATCH(89026,'Metric Details'!C:C,0))&lt;&gt;0,"",", 89026")&amp;IF(AND($D$1="Epic Anesthesia PB",INDEX('Metric Details'!H:H,MATCH(89119,'Metric Details'!C:C,0))=0,INDEX('Metric Details'!H:H,MATCH(89056,'Metric Details'!C:C,0))=0),", 89056 or 89119","")&amp;IF(AND($D$1="Epic Anesthesia PB",INDEX('Metric Details'!H:H,MATCH(89040,'Metric Details'!C:C,0))=0),", 89040",""),2,3000)</f>
        <v xml:space="preserve"> 89024, 89026, 89056 or 89119, 89040</v>
      </c>
    </row>
    <row r="13" spans="1:8">
      <c r="E13" s="46"/>
    </row>
  </sheetData>
  <sheetProtection sheet="1" objects="1" scenarios="1"/>
  <customSheetViews>
    <customSheetView guid="{53C5DE82-FE17-4722-873D-10749BE7DF83}" showAutoFilter="1">
      <selection activeCell="D1" sqref="D1"/>
      <pageSetup orientation="portrait"/>
      <autoFilter ref="A2:H12"/>
    </customSheetView>
  </customSheetViews>
  <conditionalFormatting sqref="F3:F12">
    <cfRule type="containsText" dxfId="17" priority="2" operator="containsText" text="Ready">
      <formula>NOT(ISERROR(SEARCH("Ready",F3)))</formula>
    </cfRule>
    <cfRule type="containsText" dxfId="16" priority="3" operator="containsText" text="Configuration Needed">
      <formula>NOT(ISERROR(SEARCH("Configuration Needed",F3)))</formula>
    </cfRule>
  </conditionalFormatting>
  <dataValidations count="1">
    <dataValidation type="list" allowBlank="1" showInputMessage="1" showErrorMessage="1" sqref="D1">
      <formula1>Billing_Status</formula1>
    </dataValidation>
  </dataValidations>
  <hyperlinks>
    <hyperlink ref="D3" r:id="rId1"/>
    <hyperlink ref="D4:D12" r:id="rId2" display="See AQI's Website"/>
  </hyperlinks>
  <pageMargins left="0.7" right="0.7" top="0.75" bottom="0.75" header="0.3" footer="0.3"/>
  <pageSetup orientation="portrait"/>
  <drawing r:id="rId3"/>
  <legacyDrawing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print="0" autoFill="0" autoPict="0" macro="[0]!FilterMetrics">
                <anchor moveWithCells="1" sizeWithCells="1">
                  <from>
                    <xdr:col>1</xdr:col>
                    <xdr:colOff>25400</xdr:colOff>
                    <xdr:row>0</xdr:row>
                    <xdr:rowOff>63500</xdr:rowOff>
                  </from>
                  <to>
                    <xdr:col>1</xdr:col>
                    <xdr:colOff>1244600</xdr:colOff>
                    <xdr:row>0</xdr:row>
                    <xdr:rowOff>520700</xdr:rowOff>
                  </to>
                </anchor>
              </controlPr>
            </control>
          </mc:Choice>
          <mc:Fallback/>
        </mc:AlternateContent>
      </controls>
    </mc:Choice>
    <mc:Fallback/>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5B6C8E3A-6275-42B1-92ED-39A3F89F86A4}">
            <xm:f>NOT(ISERROR(SEARCH("billing",E1)))</xm:f>
            <xm:f>"billing"</xm:f>
            <x14:dxf>
              <fill>
                <patternFill>
                  <bgColor rgb="FFFFC7CE"/>
                </patternFill>
              </fill>
            </x14:dxf>
          </x14:cfRule>
          <xm:sqref>E1</xm:sqref>
        </x14:conditionalFormatting>
      </x14:conditionalFormatting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6" tint="0.39997558519241921"/>
    <outlinePr summaryRight="0"/>
  </sheetPr>
  <dimension ref="A1:AB78"/>
  <sheetViews>
    <sheetView workbookViewId="0">
      <pane xSplit="2" ySplit="1" topLeftCell="C2" activePane="bottomRight" state="frozen"/>
      <selection pane="topRight" activeCell="C1" sqref="C1"/>
      <selection pane="bottomLeft" activeCell="A2" sqref="A2"/>
      <selection pane="bottomRight" activeCell="D1" sqref="D1:R1"/>
    </sheetView>
  </sheetViews>
  <sheetFormatPr baseColWidth="10" defaultColWidth="8.875" defaultRowHeight="15" outlineLevelCol="1" x14ac:dyDescent="0"/>
  <cols>
    <col min="1" max="1" width="43.875" customWidth="1"/>
    <col min="2" max="2" width="10.5" customWidth="1"/>
    <col min="3" max="3" width="59.875" style="3" customWidth="1"/>
    <col min="4" max="4" width="17.125" customWidth="1" collapsed="1"/>
    <col min="5" max="14" width="6" hidden="1" customWidth="1" outlineLevel="1"/>
    <col min="15" max="15" width="13.5" customWidth="1" collapsed="1"/>
    <col min="16" max="18" width="6" hidden="1" customWidth="1" outlineLevel="1"/>
    <col min="19" max="19" width="18.125" customWidth="1"/>
    <col min="20" max="20" width="27.375" bestFit="1" customWidth="1"/>
    <col min="21" max="21" width="20.5" bestFit="1" customWidth="1"/>
    <col min="22" max="22" width="24.5" customWidth="1"/>
    <col min="23" max="23" width="31.625" style="3" customWidth="1"/>
  </cols>
  <sheetData>
    <row r="1" spans="1:28" ht="43">
      <c r="A1" s="1" t="s">
        <v>0</v>
      </c>
      <c r="B1" s="1" t="s">
        <v>69</v>
      </c>
      <c r="C1" s="4" t="s">
        <v>70</v>
      </c>
      <c r="D1" s="2" t="s">
        <v>8</v>
      </c>
      <c r="E1" s="2" t="s">
        <v>192</v>
      </c>
      <c r="F1" s="2" t="s">
        <v>193</v>
      </c>
      <c r="G1" s="2" t="s">
        <v>202</v>
      </c>
      <c r="H1" s="2" t="s">
        <v>194</v>
      </c>
      <c r="I1" s="2" t="s">
        <v>195</v>
      </c>
      <c r="J1" s="2" t="s">
        <v>196</v>
      </c>
      <c r="K1" s="2" t="s">
        <v>197</v>
      </c>
      <c r="L1" s="2" t="s">
        <v>198</v>
      </c>
      <c r="M1" s="2" t="s">
        <v>199</v>
      </c>
      <c r="N1" s="2" t="s">
        <v>200</v>
      </c>
      <c r="O1" s="2" t="s">
        <v>207</v>
      </c>
      <c r="P1" s="2">
        <v>44</v>
      </c>
      <c r="Q1" s="2">
        <v>130</v>
      </c>
      <c r="R1" s="2">
        <v>193</v>
      </c>
      <c r="S1" s="1" t="s">
        <v>1</v>
      </c>
      <c r="T1" s="1" t="s">
        <v>2</v>
      </c>
      <c r="U1" s="1" t="s">
        <v>3</v>
      </c>
      <c r="V1" s="1" t="s">
        <v>101</v>
      </c>
      <c r="W1" s="4" t="s">
        <v>4</v>
      </c>
    </row>
    <row r="2" spans="1:28" ht="45">
      <c r="A2" t="s">
        <v>9</v>
      </c>
      <c r="B2">
        <v>89005</v>
      </c>
      <c r="C2" s="5" t="s">
        <v>100</v>
      </c>
      <c r="D2" t="s">
        <v>204</v>
      </c>
      <c r="E2" t="s">
        <v>201</v>
      </c>
      <c r="H2" t="s">
        <v>201</v>
      </c>
      <c r="T2" t="s">
        <v>6</v>
      </c>
      <c r="X2" t="b">
        <f>'Metric Details'!$F2='(Hidden Sheet)'!$H$3</f>
        <v>1</v>
      </c>
      <c r="Y2" t="b">
        <f ca="1">ADDRESS('(Hidden Sheet)'!X2,6,1,0,"Metric Details")='(Hidden Sheet)'!$H$3</f>
        <v>0</v>
      </c>
      <c r="Z2" t="e">
        <f>ADDRESS('(Hidden Sheet)'!Y2,6,1,0,"Metric Details")='(Hidden Sheet)'!$H$3</f>
        <v>#VALUE!</v>
      </c>
    </row>
    <row r="3" spans="1:28">
      <c r="A3" t="s">
        <v>11</v>
      </c>
      <c r="B3">
        <v>89006</v>
      </c>
      <c r="C3" s="5" t="s">
        <v>99</v>
      </c>
      <c r="D3" t="s">
        <v>203</v>
      </c>
      <c r="T3" t="s">
        <v>7</v>
      </c>
      <c r="Y3" t="b">
        <f ca="1">ADDRESS('(Hidden Sheet)'!$X3,6,1,0,"Metric Details")='(Hidden Sheet)'!$H$3</f>
        <v>0</v>
      </c>
    </row>
    <row r="4" spans="1:28">
      <c r="A4" t="s">
        <v>12</v>
      </c>
      <c r="B4">
        <v>89007</v>
      </c>
      <c r="C4" s="5" t="s">
        <v>98</v>
      </c>
      <c r="D4" t="s">
        <v>203</v>
      </c>
      <c r="S4" t="s">
        <v>13</v>
      </c>
      <c r="T4" t="s">
        <v>7</v>
      </c>
      <c r="Y4" t="str">
        <f ca="1">ADDRESS('(Hidden Sheet)'!X4,6,1,0,"Metric Details")</f>
        <v>'Metric Details'!R7C6</v>
      </c>
    </row>
    <row r="5" spans="1:28">
      <c r="A5" t="s">
        <v>14</v>
      </c>
      <c r="B5">
        <v>89008</v>
      </c>
      <c r="C5" s="5" t="s">
        <v>97</v>
      </c>
      <c r="D5" t="s">
        <v>203</v>
      </c>
      <c r="S5" t="s">
        <v>20</v>
      </c>
      <c r="T5" t="s">
        <v>7</v>
      </c>
      <c r="AA5" t="e">
        <f ca="1">LEN(INDIRECT(ADDRESS('(Hidden Sheet)'!$X5,8,1,0,"Metric Details")))</f>
        <v>#REF!</v>
      </c>
      <c r="AB5" t="str">
        <f ca="1">ADDRESS('(Hidden Sheet)'!$X5,8,1,0,"Metric Details")</f>
        <v>'Metric Details'!R8C8</v>
      </c>
    </row>
    <row r="6" spans="1:28">
      <c r="A6" t="s">
        <v>15</v>
      </c>
      <c r="B6">
        <v>89010</v>
      </c>
      <c r="C6" s="5" t="s">
        <v>96</v>
      </c>
      <c r="D6" t="s">
        <v>203</v>
      </c>
      <c r="S6" t="s">
        <v>19</v>
      </c>
      <c r="T6" t="s">
        <v>7</v>
      </c>
      <c r="AA6">
        <f ca="1">LEN(ADDRESS('(Hidden Sheet)'!$X6,8,1,0,"Metric Details"))</f>
        <v>21</v>
      </c>
    </row>
    <row r="7" spans="1:28" ht="23">
      <c r="A7" t="s">
        <v>16</v>
      </c>
      <c r="B7">
        <v>89011</v>
      </c>
      <c r="C7" s="5" t="s">
        <v>95</v>
      </c>
      <c r="D7" t="s">
        <v>203</v>
      </c>
      <c r="S7" t="s">
        <v>19</v>
      </c>
      <c r="T7" t="s">
        <v>7</v>
      </c>
      <c r="AA7">
        <f ca="1">LEN(ADDRESS('(Hidden Sheet)'!$X7,8,1,0,"Metric Details"))</f>
        <v>22</v>
      </c>
    </row>
    <row r="8" spans="1:28">
      <c r="A8" t="s">
        <v>17</v>
      </c>
      <c r="B8">
        <v>89012</v>
      </c>
      <c r="C8" s="5" t="s">
        <v>94</v>
      </c>
      <c r="D8" t="s">
        <v>203</v>
      </c>
      <c r="S8" t="s">
        <v>19</v>
      </c>
      <c r="T8" t="s">
        <v>7</v>
      </c>
      <c r="AA8">
        <f ca="1">LEN(ADDRESS('(Hidden Sheet)'!$X8,8,1,0,"Metric Details"))</f>
        <v>22</v>
      </c>
    </row>
    <row r="9" spans="1:28">
      <c r="A9" t="s">
        <v>18</v>
      </c>
      <c r="B9">
        <v>89013</v>
      </c>
      <c r="C9" s="5" t="s">
        <v>93</v>
      </c>
      <c r="D9" t="s">
        <v>203</v>
      </c>
      <c r="O9" t="s">
        <v>204</v>
      </c>
      <c r="R9" t="s">
        <v>201</v>
      </c>
      <c r="S9" t="s">
        <v>10</v>
      </c>
      <c r="T9" t="s">
        <v>7</v>
      </c>
      <c r="AA9">
        <f ca="1">LEN(ADDRESS('(Hidden Sheet)'!$X9,8,1,0,"Metric Details"))</f>
        <v>22</v>
      </c>
    </row>
    <row r="10" spans="1:28">
      <c r="A10" t="s">
        <v>21</v>
      </c>
      <c r="B10">
        <v>89014</v>
      </c>
      <c r="C10" s="5" t="s">
        <v>92</v>
      </c>
      <c r="D10" t="s">
        <v>203</v>
      </c>
      <c r="O10" t="s">
        <v>204</v>
      </c>
      <c r="R10" t="s">
        <v>201</v>
      </c>
      <c r="S10" t="s">
        <v>10</v>
      </c>
      <c r="T10" t="s">
        <v>7</v>
      </c>
      <c r="AA10">
        <f ca="1">LEN(ADDRESS('(Hidden Sheet)'!$X10,8,1,0,"Metric Details"))</f>
        <v>22</v>
      </c>
    </row>
    <row r="11" spans="1:28">
      <c r="A11" t="s">
        <v>22</v>
      </c>
      <c r="B11">
        <v>89016</v>
      </c>
      <c r="C11" s="5" t="s">
        <v>91</v>
      </c>
      <c r="D11" t="s">
        <v>203</v>
      </c>
      <c r="S11" t="s">
        <v>10</v>
      </c>
      <c r="T11" t="s">
        <v>7</v>
      </c>
    </row>
    <row r="12" spans="1:28">
      <c r="A12" t="s">
        <v>23</v>
      </c>
      <c r="B12">
        <v>89017</v>
      </c>
      <c r="C12" s="5" t="s">
        <v>90</v>
      </c>
      <c r="D12" t="s">
        <v>203</v>
      </c>
      <c r="S12" t="s">
        <v>10</v>
      </c>
      <c r="T12" t="s">
        <v>7</v>
      </c>
    </row>
    <row r="13" spans="1:28">
      <c r="A13" t="s">
        <v>24</v>
      </c>
      <c r="B13">
        <v>89018</v>
      </c>
      <c r="C13" s="5" t="s">
        <v>89</v>
      </c>
      <c r="D13" t="s">
        <v>203</v>
      </c>
      <c r="S13" t="s">
        <v>10</v>
      </c>
      <c r="T13" t="s">
        <v>7</v>
      </c>
    </row>
    <row r="14" spans="1:28">
      <c r="A14" t="s">
        <v>25</v>
      </c>
      <c r="B14">
        <v>89019</v>
      </c>
      <c r="C14" s="5" t="s">
        <v>88</v>
      </c>
      <c r="D14" t="s">
        <v>203</v>
      </c>
      <c r="S14" t="s">
        <v>26</v>
      </c>
      <c r="T14" t="s">
        <v>7</v>
      </c>
    </row>
    <row r="15" spans="1:28">
      <c r="A15" t="s">
        <v>27</v>
      </c>
      <c r="B15">
        <v>89020</v>
      </c>
      <c r="C15" s="5" t="s">
        <v>87</v>
      </c>
      <c r="D15" t="s">
        <v>203</v>
      </c>
      <c r="S15" t="s">
        <v>10</v>
      </c>
      <c r="T15" t="s">
        <v>7</v>
      </c>
    </row>
    <row r="16" spans="1:28">
      <c r="A16" t="s">
        <v>28</v>
      </c>
      <c r="B16">
        <v>89021</v>
      </c>
      <c r="C16" s="5" t="s">
        <v>86</v>
      </c>
      <c r="D16" t="s">
        <v>203</v>
      </c>
      <c r="S16" t="s">
        <v>10</v>
      </c>
      <c r="T16" t="s">
        <v>7</v>
      </c>
    </row>
    <row r="17" spans="1:23">
      <c r="A17" t="s">
        <v>30</v>
      </c>
      <c r="B17">
        <v>89022</v>
      </c>
      <c r="C17" s="5" t="s">
        <v>85</v>
      </c>
      <c r="D17" t="s">
        <v>203</v>
      </c>
      <c r="S17" t="s">
        <v>10</v>
      </c>
      <c r="T17" t="s">
        <v>7</v>
      </c>
    </row>
    <row r="18" spans="1:23" ht="23">
      <c r="A18" t="s">
        <v>29</v>
      </c>
      <c r="B18">
        <v>89023</v>
      </c>
      <c r="C18" s="5" t="s">
        <v>84</v>
      </c>
      <c r="D18" t="s">
        <v>204</v>
      </c>
      <c r="M18" t="s">
        <v>201</v>
      </c>
      <c r="S18" t="s">
        <v>31</v>
      </c>
      <c r="T18" t="s">
        <v>6</v>
      </c>
      <c r="W18" s="3" t="s">
        <v>32</v>
      </c>
    </row>
    <row r="19" spans="1:23" ht="34">
      <c r="A19" t="s">
        <v>33</v>
      </c>
      <c r="B19">
        <v>89024</v>
      </c>
      <c r="C19" s="5" t="s">
        <v>83</v>
      </c>
      <c r="D19" t="s">
        <v>204</v>
      </c>
      <c r="N19" t="s">
        <v>201</v>
      </c>
      <c r="S19" t="s">
        <v>34</v>
      </c>
      <c r="T19" t="s">
        <v>6</v>
      </c>
      <c r="W19" s="3" t="s">
        <v>35</v>
      </c>
    </row>
    <row r="20" spans="1:23" ht="122">
      <c r="A20" t="s">
        <v>36</v>
      </c>
      <c r="B20">
        <v>89025</v>
      </c>
      <c r="C20" s="5" t="s">
        <v>82</v>
      </c>
      <c r="D20" t="s">
        <v>204</v>
      </c>
      <c r="M20" t="s">
        <v>201</v>
      </c>
      <c r="S20" t="s">
        <v>40</v>
      </c>
      <c r="T20" t="s">
        <v>6</v>
      </c>
      <c r="W20" s="3" t="s">
        <v>37</v>
      </c>
    </row>
    <row r="21" spans="1:23" ht="133">
      <c r="A21" t="s">
        <v>38</v>
      </c>
      <c r="B21">
        <v>89026</v>
      </c>
      <c r="C21" s="5" t="s">
        <v>81</v>
      </c>
      <c r="D21" t="s">
        <v>204</v>
      </c>
      <c r="N21" t="s">
        <v>205</v>
      </c>
      <c r="S21" t="s">
        <v>39</v>
      </c>
      <c r="T21" t="s">
        <v>6</v>
      </c>
      <c r="W21" s="3" t="s">
        <v>41</v>
      </c>
    </row>
    <row r="22" spans="1:23" ht="155">
      <c r="A22" t="s">
        <v>42</v>
      </c>
      <c r="B22">
        <v>89027</v>
      </c>
      <c r="C22" s="5" t="s">
        <v>80</v>
      </c>
      <c r="D22" t="s">
        <v>204</v>
      </c>
      <c r="M22" t="s">
        <v>201</v>
      </c>
      <c r="S22" t="s">
        <v>40</v>
      </c>
      <c r="T22" t="s">
        <v>6</v>
      </c>
      <c r="W22" s="3" t="s">
        <v>43</v>
      </c>
    </row>
    <row r="23" spans="1:23" ht="78">
      <c r="A23" t="s">
        <v>44</v>
      </c>
      <c r="B23">
        <v>89028</v>
      </c>
      <c r="C23" s="5" t="s">
        <v>79</v>
      </c>
      <c r="D23" t="s">
        <v>204</v>
      </c>
      <c r="M23" t="s">
        <v>201</v>
      </c>
      <c r="S23" t="s">
        <v>5</v>
      </c>
      <c r="T23" t="s">
        <v>6</v>
      </c>
      <c r="W23" s="3" t="s">
        <v>45</v>
      </c>
    </row>
    <row r="24" spans="1:23" ht="23">
      <c r="A24" t="s">
        <v>46</v>
      </c>
      <c r="B24">
        <v>89029</v>
      </c>
      <c r="C24" s="5" t="s">
        <v>78</v>
      </c>
      <c r="D24" t="s">
        <v>204</v>
      </c>
      <c r="M24" t="s">
        <v>201</v>
      </c>
      <c r="S24" t="s">
        <v>5</v>
      </c>
      <c r="T24" t="s">
        <v>6</v>
      </c>
      <c r="W24" s="3" t="s">
        <v>45</v>
      </c>
    </row>
    <row r="25" spans="1:23" ht="30">
      <c r="A25" t="s">
        <v>47</v>
      </c>
      <c r="B25">
        <v>89032</v>
      </c>
      <c r="C25" s="5" t="s">
        <v>77</v>
      </c>
      <c r="D25" t="s">
        <v>204</v>
      </c>
      <c r="I25" t="s">
        <v>201</v>
      </c>
      <c r="J25" t="s">
        <v>201</v>
      </c>
      <c r="S25" t="s">
        <v>39</v>
      </c>
      <c r="T25" t="s">
        <v>6</v>
      </c>
      <c r="W25" s="3" t="s">
        <v>48</v>
      </c>
    </row>
    <row r="26" spans="1:23" ht="30">
      <c r="A26" t="s">
        <v>50</v>
      </c>
      <c r="B26">
        <v>89033</v>
      </c>
      <c r="C26" s="5" t="s">
        <v>76</v>
      </c>
      <c r="D26" t="s">
        <v>204</v>
      </c>
      <c r="J26" t="s">
        <v>201</v>
      </c>
      <c r="S26" t="s">
        <v>39</v>
      </c>
      <c r="T26" t="s">
        <v>6</v>
      </c>
      <c r="W26" s="3" t="s">
        <v>49</v>
      </c>
    </row>
    <row r="27" spans="1:23" ht="30">
      <c r="A27" t="s">
        <v>51</v>
      </c>
      <c r="B27">
        <v>89034</v>
      </c>
      <c r="C27" s="5" t="s">
        <v>75</v>
      </c>
      <c r="D27" t="s">
        <v>204</v>
      </c>
      <c r="J27" t="s">
        <v>201</v>
      </c>
      <c r="S27" t="s">
        <v>39</v>
      </c>
      <c r="T27" t="s">
        <v>6</v>
      </c>
      <c r="W27" s="3" t="s">
        <v>52</v>
      </c>
    </row>
    <row r="28" spans="1:23">
      <c r="A28" t="s">
        <v>53</v>
      </c>
      <c r="B28">
        <v>89035</v>
      </c>
      <c r="C28" s="5" t="s">
        <v>74</v>
      </c>
      <c r="D28" t="s">
        <v>204</v>
      </c>
      <c r="I28" t="s">
        <v>201</v>
      </c>
      <c r="K28" t="s">
        <v>201</v>
      </c>
      <c r="S28" t="s">
        <v>39</v>
      </c>
      <c r="T28" t="s">
        <v>7</v>
      </c>
    </row>
    <row r="29" spans="1:23">
      <c r="A29" t="s">
        <v>54</v>
      </c>
      <c r="B29">
        <v>89036</v>
      </c>
      <c r="C29" s="5" t="s">
        <v>73</v>
      </c>
      <c r="D29" t="s">
        <v>204</v>
      </c>
      <c r="I29" t="s">
        <v>201</v>
      </c>
      <c r="K29" t="s">
        <v>201</v>
      </c>
      <c r="S29" t="s">
        <v>39</v>
      </c>
      <c r="T29" t="s">
        <v>7</v>
      </c>
    </row>
    <row r="30" spans="1:23" ht="34">
      <c r="A30" t="s">
        <v>55</v>
      </c>
      <c r="B30">
        <v>89037</v>
      </c>
      <c r="C30" s="5" t="s">
        <v>72</v>
      </c>
      <c r="D30" t="s">
        <v>204</v>
      </c>
      <c r="I30" t="s">
        <v>201</v>
      </c>
      <c r="S30" t="s">
        <v>39</v>
      </c>
      <c r="T30" t="s">
        <v>6</v>
      </c>
      <c r="W30" s="3" t="s">
        <v>56</v>
      </c>
    </row>
    <row r="31" spans="1:23" ht="56">
      <c r="A31" t="s">
        <v>57</v>
      </c>
      <c r="B31">
        <v>89039</v>
      </c>
      <c r="C31" s="5" t="s">
        <v>71</v>
      </c>
      <c r="D31" t="s">
        <v>206</v>
      </c>
      <c r="O31" t="s">
        <v>204</v>
      </c>
      <c r="P31" t="s">
        <v>205</v>
      </c>
      <c r="Q31" t="s">
        <v>205</v>
      </c>
      <c r="R31" t="s">
        <v>205</v>
      </c>
      <c r="S31" t="s">
        <v>59</v>
      </c>
      <c r="T31" t="s">
        <v>7</v>
      </c>
    </row>
    <row r="32" spans="1:23" ht="23">
      <c r="A32" t="s">
        <v>58</v>
      </c>
      <c r="B32">
        <v>89040</v>
      </c>
      <c r="C32" s="5" t="s">
        <v>68</v>
      </c>
      <c r="D32" t="s">
        <v>206</v>
      </c>
      <c r="S32" t="s">
        <v>59</v>
      </c>
      <c r="T32" t="s">
        <v>7</v>
      </c>
    </row>
    <row r="33" spans="1:23" ht="23">
      <c r="A33" t="s">
        <v>60</v>
      </c>
      <c r="B33">
        <v>89042</v>
      </c>
      <c r="C33" s="5" t="s">
        <v>144</v>
      </c>
      <c r="D33" t="s">
        <v>204</v>
      </c>
      <c r="I33" t="s">
        <v>201</v>
      </c>
      <c r="L33" t="s">
        <v>201</v>
      </c>
      <c r="S33" t="s">
        <v>39</v>
      </c>
      <c r="T33" t="s">
        <v>6</v>
      </c>
      <c r="W33" s="3" t="s">
        <v>61</v>
      </c>
    </row>
    <row r="34" spans="1:23" ht="34">
      <c r="A34" t="s">
        <v>62</v>
      </c>
      <c r="B34">
        <v>89043</v>
      </c>
      <c r="C34" s="5" t="s">
        <v>145</v>
      </c>
      <c r="D34" t="s">
        <v>204</v>
      </c>
      <c r="E34" t="s">
        <v>201</v>
      </c>
      <c r="S34" t="s">
        <v>63</v>
      </c>
      <c r="T34" t="s">
        <v>6</v>
      </c>
      <c r="W34" s="3" t="s">
        <v>64</v>
      </c>
    </row>
    <row r="35" spans="1:23" ht="23">
      <c r="A35" t="s">
        <v>65</v>
      </c>
      <c r="B35">
        <v>89044</v>
      </c>
      <c r="C35" s="5" t="s">
        <v>146</v>
      </c>
      <c r="D35" t="s">
        <v>204</v>
      </c>
      <c r="L35" t="s">
        <v>201</v>
      </c>
      <c r="S35" t="s">
        <v>66</v>
      </c>
      <c r="T35" t="s">
        <v>6</v>
      </c>
      <c r="W35" s="3" t="s">
        <v>61</v>
      </c>
    </row>
    <row r="36" spans="1:23" ht="23">
      <c r="A36" t="s">
        <v>67</v>
      </c>
      <c r="B36">
        <v>89045</v>
      </c>
      <c r="C36" s="5" t="s">
        <v>147</v>
      </c>
      <c r="D36" t="s">
        <v>206</v>
      </c>
      <c r="S36" t="s">
        <v>59</v>
      </c>
      <c r="T36" t="s">
        <v>7</v>
      </c>
    </row>
    <row r="37" spans="1:23" ht="23">
      <c r="A37" t="s">
        <v>102</v>
      </c>
      <c r="B37">
        <v>89046</v>
      </c>
      <c r="C37" s="5" t="s">
        <v>148</v>
      </c>
      <c r="D37" t="s">
        <v>203</v>
      </c>
      <c r="S37" t="s">
        <v>20</v>
      </c>
      <c r="T37" t="s">
        <v>7</v>
      </c>
    </row>
    <row r="38" spans="1:23" ht="56">
      <c r="A38" t="s">
        <v>103</v>
      </c>
      <c r="B38">
        <v>89047</v>
      </c>
      <c r="C38" s="5" t="s">
        <v>149</v>
      </c>
      <c r="D38" t="s">
        <v>206</v>
      </c>
      <c r="S38" t="s">
        <v>59</v>
      </c>
      <c r="T38" t="s">
        <v>7</v>
      </c>
    </row>
    <row r="39" spans="1:23" ht="133">
      <c r="A39" t="s">
        <v>104</v>
      </c>
      <c r="B39">
        <v>89048</v>
      </c>
      <c r="C39" s="5" t="s">
        <v>150</v>
      </c>
      <c r="D39" t="s">
        <v>204</v>
      </c>
      <c r="L39" t="s">
        <v>201</v>
      </c>
      <c r="S39" t="s">
        <v>66</v>
      </c>
      <c r="T39" t="s">
        <v>6</v>
      </c>
    </row>
    <row r="40" spans="1:23">
      <c r="A40" t="s">
        <v>105</v>
      </c>
      <c r="B40">
        <v>89052</v>
      </c>
      <c r="C40" s="5" t="s">
        <v>151</v>
      </c>
      <c r="D40" t="s">
        <v>203</v>
      </c>
      <c r="O40" t="s">
        <v>204</v>
      </c>
      <c r="P40" t="s">
        <v>201</v>
      </c>
      <c r="Q40" t="s">
        <v>201</v>
      </c>
      <c r="T40" t="s">
        <v>7</v>
      </c>
    </row>
    <row r="41" spans="1:23">
      <c r="A41" t="s">
        <v>106</v>
      </c>
      <c r="B41">
        <v>89053</v>
      </c>
      <c r="C41" s="5" t="s">
        <v>152</v>
      </c>
      <c r="D41" t="s">
        <v>203</v>
      </c>
      <c r="T41" t="s">
        <v>7</v>
      </c>
    </row>
    <row r="42" spans="1:23">
      <c r="A42" t="s">
        <v>107</v>
      </c>
      <c r="B42">
        <v>89054</v>
      </c>
      <c r="C42" s="5" t="s">
        <v>153</v>
      </c>
      <c r="D42" t="s">
        <v>203</v>
      </c>
      <c r="T42" t="s">
        <v>7</v>
      </c>
    </row>
    <row r="43" spans="1:23" ht="45">
      <c r="A43" t="s">
        <v>108</v>
      </c>
      <c r="B43">
        <v>89055</v>
      </c>
      <c r="C43" s="5" t="s">
        <v>154</v>
      </c>
      <c r="D43" t="s">
        <v>203</v>
      </c>
      <c r="T43" t="s">
        <v>7</v>
      </c>
    </row>
    <row r="44" spans="1:23" ht="45">
      <c r="A44" t="s">
        <v>109</v>
      </c>
      <c r="B44">
        <v>89056</v>
      </c>
      <c r="C44" s="5" t="s">
        <v>155</v>
      </c>
      <c r="D44" t="s">
        <v>203</v>
      </c>
      <c r="T44" t="s">
        <v>7</v>
      </c>
    </row>
    <row r="45" spans="1:23" ht="56">
      <c r="A45" t="s">
        <v>110</v>
      </c>
      <c r="B45">
        <v>89057</v>
      </c>
      <c r="C45" s="5" t="s">
        <v>156</v>
      </c>
      <c r="D45" t="s">
        <v>206</v>
      </c>
      <c r="T45" t="s">
        <v>7</v>
      </c>
    </row>
    <row r="46" spans="1:23" ht="111">
      <c r="A46" t="s">
        <v>111</v>
      </c>
      <c r="B46">
        <v>89058</v>
      </c>
      <c r="C46" s="5" t="s">
        <v>157</v>
      </c>
      <c r="D46" t="s">
        <v>204</v>
      </c>
      <c r="F46" t="s">
        <v>201</v>
      </c>
      <c r="G46" t="s">
        <v>201</v>
      </c>
      <c r="T46" t="s">
        <v>6</v>
      </c>
    </row>
    <row r="47" spans="1:23" ht="89">
      <c r="A47" t="s">
        <v>112</v>
      </c>
      <c r="B47">
        <v>89059</v>
      </c>
      <c r="C47" s="5" t="s">
        <v>158</v>
      </c>
      <c r="D47" t="s">
        <v>204</v>
      </c>
      <c r="F47" t="s">
        <v>201</v>
      </c>
      <c r="G47" t="s">
        <v>201</v>
      </c>
      <c r="T47" t="s">
        <v>6</v>
      </c>
    </row>
    <row r="48" spans="1:23" ht="34">
      <c r="A48" t="s">
        <v>113</v>
      </c>
      <c r="B48">
        <v>89060</v>
      </c>
      <c r="C48" s="5" t="s">
        <v>159</v>
      </c>
      <c r="D48" t="s">
        <v>204</v>
      </c>
      <c r="G48" t="s">
        <v>201</v>
      </c>
      <c r="T48" t="s">
        <v>7</v>
      </c>
    </row>
    <row r="49" spans="1:20" ht="144">
      <c r="A49" t="s">
        <v>114</v>
      </c>
      <c r="B49">
        <v>89061</v>
      </c>
      <c r="C49" s="5" t="s">
        <v>160</v>
      </c>
      <c r="D49" t="s">
        <v>204</v>
      </c>
      <c r="F49" t="s">
        <v>201</v>
      </c>
      <c r="G49" t="s">
        <v>201</v>
      </c>
      <c r="T49" t="s">
        <v>6</v>
      </c>
    </row>
    <row r="50" spans="1:20" ht="56">
      <c r="A50" t="s">
        <v>115</v>
      </c>
      <c r="B50">
        <v>89062</v>
      </c>
      <c r="C50" s="5" t="s">
        <v>161</v>
      </c>
      <c r="D50" t="s">
        <v>204</v>
      </c>
      <c r="F50" t="s">
        <v>201</v>
      </c>
      <c r="G50" t="s">
        <v>201</v>
      </c>
      <c r="T50" t="s">
        <v>6</v>
      </c>
    </row>
    <row r="51" spans="1:20" ht="89">
      <c r="A51" t="s">
        <v>116</v>
      </c>
      <c r="B51">
        <v>89063</v>
      </c>
      <c r="C51" s="5" t="s">
        <v>162</v>
      </c>
      <c r="D51" t="s">
        <v>204</v>
      </c>
      <c r="F51" t="s">
        <v>201</v>
      </c>
      <c r="G51" t="s">
        <v>201</v>
      </c>
      <c r="T51" t="s">
        <v>6</v>
      </c>
    </row>
    <row r="52" spans="1:20" ht="89">
      <c r="A52" t="s">
        <v>117</v>
      </c>
      <c r="B52">
        <v>89064</v>
      </c>
      <c r="C52" s="5" t="s">
        <v>163</v>
      </c>
      <c r="D52" t="s">
        <v>204</v>
      </c>
      <c r="F52" t="s">
        <v>201</v>
      </c>
      <c r="G52" t="s">
        <v>201</v>
      </c>
      <c r="T52" t="s">
        <v>6</v>
      </c>
    </row>
    <row r="53" spans="1:20" ht="89">
      <c r="A53" t="s">
        <v>118</v>
      </c>
      <c r="B53">
        <v>89065</v>
      </c>
      <c r="C53" s="5" t="s">
        <v>164</v>
      </c>
      <c r="D53" t="s">
        <v>204</v>
      </c>
      <c r="F53" t="s">
        <v>201</v>
      </c>
      <c r="G53" t="s">
        <v>201</v>
      </c>
      <c r="T53" t="s">
        <v>6</v>
      </c>
    </row>
    <row r="54" spans="1:20" ht="89">
      <c r="A54" t="s">
        <v>119</v>
      </c>
      <c r="B54">
        <v>89066</v>
      </c>
      <c r="C54" s="5" t="s">
        <v>165</v>
      </c>
      <c r="D54" t="s">
        <v>204</v>
      </c>
      <c r="F54" t="s">
        <v>201</v>
      </c>
      <c r="G54" t="s">
        <v>201</v>
      </c>
      <c r="T54" t="s">
        <v>6</v>
      </c>
    </row>
    <row r="55" spans="1:20" ht="89">
      <c r="A55" t="s">
        <v>120</v>
      </c>
      <c r="B55">
        <v>89067</v>
      </c>
      <c r="C55" s="5" t="s">
        <v>166</v>
      </c>
      <c r="D55" t="s">
        <v>204</v>
      </c>
      <c r="F55" t="s">
        <v>201</v>
      </c>
      <c r="G55" t="s">
        <v>201</v>
      </c>
      <c r="T55" t="s">
        <v>6</v>
      </c>
    </row>
    <row r="56" spans="1:20" ht="89">
      <c r="A56" t="s">
        <v>121</v>
      </c>
      <c r="B56">
        <v>89068</v>
      </c>
      <c r="C56" s="5" t="s">
        <v>167</v>
      </c>
      <c r="D56" t="s">
        <v>204</v>
      </c>
      <c r="F56" t="s">
        <v>201</v>
      </c>
      <c r="G56" t="s">
        <v>201</v>
      </c>
      <c r="T56" t="s">
        <v>6</v>
      </c>
    </row>
    <row r="57" spans="1:20" ht="89">
      <c r="A57" t="s">
        <v>122</v>
      </c>
      <c r="B57">
        <v>89069</v>
      </c>
      <c r="C57" s="5" t="s">
        <v>168</v>
      </c>
      <c r="D57" t="s">
        <v>204</v>
      </c>
      <c r="F57" t="s">
        <v>201</v>
      </c>
      <c r="G57" t="s">
        <v>201</v>
      </c>
      <c r="T57" t="s">
        <v>6</v>
      </c>
    </row>
    <row r="58" spans="1:20" ht="200" customHeight="1">
      <c r="A58" t="s">
        <v>123</v>
      </c>
      <c r="B58">
        <v>89070</v>
      </c>
      <c r="C58" s="5" t="s">
        <v>169</v>
      </c>
      <c r="D58" t="s">
        <v>204</v>
      </c>
      <c r="F58" t="s">
        <v>201</v>
      </c>
      <c r="G58" t="s">
        <v>201</v>
      </c>
      <c r="T58" t="s">
        <v>6</v>
      </c>
    </row>
    <row r="59" spans="1:20" ht="78">
      <c r="A59" t="s">
        <v>124</v>
      </c>
      <c r="B59">
        <v>89071</v>
      </c>
      <c r="C59" s="5" t="s">
        <v>170</v>
      </c>
      <c r="D59" t="s">
        <v>204</v>
      </c>
      <c r="G59" t="s">
        <v>201</v>
      </c>
      <c r="S59" t="s">
        <v>40</v>
      </c>
      <c r="T59" t="s">
        <v>6</v>
      </c>
    </row>
    <row r="60" spans="1:20" ht="78">
      <c r="A60" t="s">
        <v>125</v>
      </c>
      <c r="B60">
        <v>89072</v>
      </c>
      <c r="C60" s="5" t="s">
        <v>171</v>
      </c>
      <c r="D60" t="s">
        <v>203</v>
      </c>
      <c r="T60" t="s">
        <v>7</v>
      </c>
    </row>
    <row r="61" spans="1:20">
      <c r="A61" t="s">
        <v>126</v>
      </c>
      <c r="B61">
        <v>89073</v>
      </c>
      <c r="C61" s="5" t="s">
        <v>172</v>
      </c>
      <c r="D61" t="s">
        <v>203</v>
      </c>
      <c r="T61" t="s">
        <v>7</v>
      </c>
    </row>
    <row r="62" spans="1:20">
      <c r="A62" t="s">
        <v>127</v>
      </c>
      <c r="B62">
        <v>89074</v>
      </c>
      <c r="C62" s="5" t="s">
        <v>173</v>
      </c>
      <c r="D62" t="s">
        <v>203</v>
      </c>
      <c r="T62" t="s">
        <v>7</v>
      </c>
    </row>
    <row r="63" spans="1:20" ht="23">
      <c r="A63" t="s">
        <v>128</v>
      </c>
      <c r="B63">
        <v>89075</v>
      </c>
      <c r="C63" s="5" t="s">
        <v>174</v>
      </c>
      <c r="D63" t="s">
        <v>203</v>
      </c>
      <c r="T63" t="s">
        <v>7</v>
      </c>
    </row>
    <row r="64" spans="1:20">
      <c r="A64" t="s">
        <v>129</v>
      </c>
      <c r="B64">
        <v>89076</v>
      </c>
      <c r="C64" s="5" t="s">
        <v>175</v>
      </c>
      <c r="D64" t="s">
        <v>203</v>
      </c>
      <c r="T64" t="s">
        <v>7</v>
      </c>
    </row>
    <row r="65" spans="1:20">
      <c r="A65" t="s">
        <v>130</v>
      </c>
      <c r="B65">
        <v>89077</v>
      </c>
      <c r="C65" s="5" t="s">
        <v>176</v>
      </c>
      <c r="D65" t="s">
        <v>203</v>
      </c>
      <c r="T65" t="s">
        <v>7</v>
      </c>
    </row>
    <row r="66" spans="1:20" ht="23">
      <c r="A66" t="s">
        <v>131</v>
      </c>
      <c r="B66">
        <v>89094</v>
      </c>
      <c r="C66" s="5" t="s">
        <v>177</v>
      </c>
      <c r="D66" t="s">
        <v>206</v>
      </c>
      <c r="T66" t="s">
        <v>7</v>
      </c>
    </row>
    <row r="67" spans="1:20">
      <c r="A67" t="s">
        <v>132</v>
      </c>
      <c r="B67">
        <v>89102</v>
      </c>
      <c r="C67" s="5" t="s">
        <v>178</v>
      </c>
      <c r="D67" t="s">
        <v>206</v>
      </c>
      <c r="T67" t="s">
        <v>7</v>
      </c>
    </row>
    <row r="68" spans="1:20" ht="67">
      <c r="A68" t="s">
        <v>133</v>
      </c>
      <c r="B68">
        <v>89111</v>
      </c>
      <c r="C68" s="5" t="s">
        <v>179</v>
      </c>
      <c r="O68" t="s">
        <v>204</v>
      </c>
      <c r="P68" t="s">
        <v>201</v>
      </c>
      <c r="T68" t="s">
        <v>6</v>
      </c>
    </row>
    <row r="69" spans="1:20" ht="144">
      <c r="A69" t="s">
        <v>134</v>
      </c>
      <c r="B69">
        <v>89112</v>
      </c>
      <c r="C69" s="5" t="s">
        <v>180</v>
      </c>
      <c r="O69" t="s">
        <v>204</v>
      </c>
      <c r="P69" t="s">
        <v>201</v>
      </c>
      <c r="T69" t="s">
        <v>6</v>
      </c>
    </row>
    <row r="70" spans="1:20" ht="67">
      <c r="A70" t="s">
        <v>135</v>
      </c>
      <c r="B70">
        <v>89113</v>
      </c>
      <c r="C70" s="5" t="s">
        <v>181</v>
      </c>
      <c r="O70" t="s">
        <v>204</v>
      </c>
      <c r="R70" t="s">
        <v>201</v>
      </c>
      <c r="T70" t="s">
        <v>6</v>
      </c>
    </row>
    <row r="71" spans="1:20" ht="89">
      <c r="A71" t="s">
        <v>136</v>
      </c>
      <c r="B71">
        <v>89114</v>
      </c>
      <c r="C71" s="5" t="s">
        <v>182</v>
      </c>
      <c r="T71" t="s">
        <v>6</v>
      </c>
    </row>
    <row r="72" spans="1:20" ht="144">
      <c r="A72" t="s">
        <v>137</v>
      </c>
      <c r="B72">
        <v>89115</v>
      </c>
      <c r="C72" s="5" t="s">
        <v>183</v>
      </c>
      <c r="O72" t="s">
        <v>204</v>
      </c>
      <c r="R72" t="s">
        <v>201</v>
      </c>
      <c r="S72" t="s">
        <v>39</v>
      </c>
      <c r="T72" t="s">
        <v>6</v>
      </c>
    </row>
    <row r="73" spans="1:20" ht="100">
      <c r="A73" t="s">
        <v>138</v>
      </c>
      <c r="B73">
        <v>89116</v>
      </c>
      <c r="C73" s="5" t="s">
        <v>184</v>
      </c>
      <c r="O73" t="s">
        <v>204</v>
      </c>
      <c r="Q73" t="s">
        <v>201</v>
      </c>
      <c r="S73" t="s">
        <v>31</v>
      </c>
      <c r="T73" t="s">
        <v>190</v>
      </c>
    </row>
    <row r="74" spans="1:20" ht="144">
      <c r="A74" t="s">
        <v>139</v>
      </c>
      <c r="B74">
        <v>89117</v>
      </c>
      <c r="C74" s="5" t="s">
        <v>185</v>
      </c>
      <c r="O74" t="s">
        <v>204</v>
      </c>
      <c r="Q74" t="s">
        <v>201</v>
      </c>
      <c r="S74" t="s">
        <v>31</v>
      </c>
      <c r="T74" t="s">
        <v>6</v>
      </c>
    </row>
    <row r="75" spans="1:20" ht="34">
      <c r="A75" t="s">
        <v>140</v>
      </c>
      <c r="B75">
        <v>89118</v>
      </c>
      <c r="C75" s="5" t="s">
        <v>189</v>
      </c>
      <c r="D75" t="s">
        <v>206</v>
      </c>
      <c r="S75" t="s">
        <v>59</v>
      </c>
      <c r="T75" t="s">
        <v>7</v>
      </c>
    </row>
    <row r="76" spans="1:20" ht="23">
      <c r="A76" t="s">
        <v>141</v>
      </c>
      <c r="B76">
        <v>89119</v>
      </c>
      <c r="C76" s="5" t="s">
        <v>186</v>
      </c>
      <c r="D76" t="s">
        <v>206</v>
      </c>
      <c r="S76" t="s">
        <v>59</v>
      </c>
      <c r="T76" t="s">
        <v>7</v>
      </c>
    </row>
    <row r="77" spans="1:20" ht="89">
      <c r="A77" t="s">
        <v>143</v>
      </c>
      <c r="B77">
        <v>89120</v>
      </c>
      <c r="C77" s="5" t="s">
        <v>187</v>
      </c>
      <c r="D77" t="s">
        <v>204</v>
      </c>
      <c r="F77" t="s">
        <v>201</v>
      </c>
      <c r="S77" t="s">
        <v>40</v>
      </c>
      <c r="T77" t="s">
        <v>6</v>
      </c>
    </row>
    <row r="78" spans="1:20" ht="155">
      <c r="A78" t="s">
        <v>142</v>
      </c>
      <c r="B78">
        <v>89121</v>
      </c>
      <c r="C78" s="5" t="s">
        <v>188</v>
      </c>
      <c r="D78" t="s">
        <v>204</v>
      </c>
      <c r="F78" t="s">
        <v>201</v>
      </c>
      <c r="G78" t="s">
        <v>201</v>
      </c>
      <c r="S78" t="s">
        <v>191</v>
      </c>
      <c r="T78" t="s">
        <v>6</v>
      </c>
    </row>
  </sheetData>
  <autoFilter ref="A1:W78">
    <sortState ref="A2:W78">
      <sortCondition ref="B1:B78"/>
    </sortState>
  </autoFilter>
  <customSheetViews>
    <customSheetView guid="{53C5DE82-FE17-4722-873D-10749BE7DF83}" showAutoFilter="1" hiddenColumns="1">
      <pane xSplit="2" ySplit="1" topLeftCell="C2" activePane="bottomRight" state="frozenSplit"/>
      <selection pane="bottomRight" activeCell="U12" sqref="U12"/>
      <pageSetup orientation="portrait"/>
      <autoFilter ref="A1:W78">
        <sortState ref="A2:W78">
          <sortCondition ref="B1:B78"/>
        </sortState>
      </autoFilter>
    </customSheetView>
  </customSheetViews>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6" tint="0.39997558519241921"/>
    <outlinePr summaryRight="0"/>
  </sheetPr>
  <dimension ref="A1:AE81"/>
  <sheetViews>
    <sheetView zoomScale="115" zoomScaleNormal="115" zoomScalePageLayoutView="115" workbookViewId="0">
      <pane ySplit="1" topLeftCell="A68" activePane="bottomLeft" state="frozen"/>
      <selection pane="bottomLeft" activeCell="E42" sqref="E42"/>
    </sheetView>
  </sheetViews>
  <sheetFormatPr baseColWidth="10" defaultColWidth="8.875" defaultRowHeight="15" outlineLevelCol="1" x14ac:dyDescent="0"/>
  <cols>
    <col min="1" max="1" width="23.75" style="30" customWidth="1"/>
    <col min="2" max="2" width="15" style="30" customWidth="1"/>
    <col min="3" max="3" width="12.125" style="30" bestFit="1" customWidth="1"/>
    <col min="4" max="4" width="28" style="30" customWidth="1"/>
    <col min="5" max="5" width="49.5" style="30" customWidth="1"/>
    <col min="6" max="6" width="18.125" style="30" bestFit="1" customWidth="1"/>
    <col min="7" max="7" width="18.875" style="30" customWidth="1"/>
    <col min="8" max="8" width="8.875" style="30"/>
    <col min="9" max="9" width="35.5" style="30" customWidth="1"/>
    <col min="10" max="10" width="35.5" style="30" customWidth="1" collapsed="1"/>
    <col min="11" max="12" width="35.5" style="30" hidden="1" customWidth="1" outlineLevel="1"/>
    <col min="13" max="13" width="29.375" style="30" hidden="1" customWidth="1" outlineLevel="1"/>
    <col min="14" max="14" width="20" style="30" customWidth="1"/>
    <col min="15" max="15" width="36.125" style="30" customWidth="1"/>
    <col min="16" max="16" width="17.125" style="30" customWidth="1" collapsed="1"/>
    <col min="17" max="26" width="6" style="30" hidden="1" customWidth="1" outlineLevel="1"/>
    <col min="27" max="27" width="13.5" style="30" customWidth="1" collapsed="1"/>
    <col min="28" max="30" width="6" style="30" hidden="1" customWidth="1" outlineLevel="1"/>
    <col min="31" max="31" width="14.125" style="30" customWidth="1"/>
    <col min="32" max="16384" width="8.875" style="30"/>
  </cols>
  <sheetData>
    <row r="1" spans="1:31" s="40" customFormat="1" ht="30">
      <c r="A1" s="38" t="s">
        <v>290</v>
      </c>
      <c r="B1" s="38" t="s">
        <v>0</v>
      </c>
      <c r="C1" s="38" t="s">
        <v>513</v>
      </c>
      <c r="D1" s="38" t="s">
        <v>208</v>
      </c>
      <c r="E1" s="38" t="s">
        <v>209</v>
      </c>
      <c r="F1" s="38" t="s">
        <v>512</v>
      </c>
      <c r="G1" s="38" t="s">
        <v>457</v>
      </c>
      <c r="H1" s="38" t="s">
        <v>443</v>
      </c>
      <c r="I1" s="38" t="s">
        <v>456</v>
      </c>
      <c r="J1" s="38" t="s">
        <v>623</v>
      </c>
      <c r="K1" s="38" t="s">
        <v>620</v>
      </c>
      <c r="L1" s="38" t="s">
        <v>621</v>
      </c>
      <c r="M1" s="38" t="s">
        <v>622</v>
      </c>
      <c r="N1" s="38" t="s">
        <v>534</v>
      </c>
      <c r="O1" s="38" t="s">
        <v>529</v>
      </c>
      <c r="P1" s="39" t="s">
        <v>8</v>
      </c>
      <c r="Q1" s="39" t="s">
        <v>192</v>
      </c>
      <c r="R1" s="39" t="s">
        <v>193</v>
      </c>
      <c r="S1" s="39" t="s">
        <v>202</v>
      </c>
      <c r="T1" s="39" t="s">
        <v>194</v>
      </c>
      <c r="U1" s="39" t="s">
        <v>195</v>
      </c>
      <c r="V1" s="39" t="s">
        <v>196</v>
      </c>
      <c r="W1" s="39" t="s">
        <v>197</v>
      </c>
      <c r="X1" s="39" t="s">
        <v>198</v>
      </c>
      <c r="Y1" s="39" t="s">
        <v>199</v>
      </c>
      <c r="Z1" s="39" t="s">
        <v>200</v>
      </c>
      <c r="AA1" s="39" t="s">
        <v>207</v>
      </c>
      <c r="AB1" s="39">
        <v>44</v>
      </c>
      <c r="AC1" s="39">
        <v>130</v>
      </c>
      <c r="AD1" s="39">
        <v>193</v>
      </c>
      <c r="AE1" s="38" t="s">
        <v>4</v>
      </c>
    </row>
    <row r="2" spans="1:31" ht="39">
      <c r="A2" s="31" t="s">
        <v>291</v>
      </c>
      <c r="B2" s="31" t="s">
        <v>292</v>
      </c>
      <c r="C2" s="31">
        <v>82013</v>
      </c>
      <c r="D2" s="31" t="s">
        <v>210</v>
      </c>
      <c r="E2" s="32" t="s">
        <v>373</v>
      </c>
      <c r="F2" s="33" t="s">
        <v>459</v>
      </c>
      <c r="G2" s="33"/>
      <c r="H2" s="33"/>
      <c r="I2" s="33"/>
      <c r="J2" s="31" t="s">
        <v>624</v>
      </c>
      <c r="K2" s="33" t="s">
        <v>205</v>
      </c>
      <c r="L2" s="33" t="s">
        <v>205</v>
      </c>
      <c r="M2" s="33"/>
      <c r="N2" s="33"/>
      <c r="O2" s="33"/>
      <c r="P2" s="34"/>
      <c r="Q2" s="34"/>
      <c r="R2" s="34"/>
      <c r="S2" s="34"/>
      <c r="T2" s="34"/>
      <c r="U2" s="34"/>
      <c r="V2" s="34"/>
      <c r="W2" s="34"/>
      <c r="X2" s="34"/>
      <c r="Y2" s="34"/>
      <c r="Z2" s="34"/>
      <c r="AA2" s="34"/>
      <c r="AB2" s="34"/>
      <c r="AC2" s="34"/>
      <c r="AD2" s="34"/>
      <c r="AE2" s="33"/>
    </row>
    <row r="3" spans="1:31" ht="39">
      <c r="A3" s="31" t="s">
        <v>293</v>
      </c>
      <c r="B3" s="31" t="s">
        <v>294</v>
      </c>
      <c r="C3" s="31">
        <v>84041</v>
      </c>
      <c r="D3" s="31" t="s">
        <v>211</v>
      </c>
      <c r="E3" s="32" t="s">
        <v>374</v>
      </c>
      <c r="F3" s="35" t="s">
        <v>459</v>
      </c>
      <c r="G3" s="33"/>
      <c r="H3" s="33"/>
      <c r="I3" s="33"/>
      <c r="J3" s="31" t="s">
        <v>625</v>
      </c>
      <c r="K3" s="33" t="s">
        <v>205</v>
      </c>
      <c r="L3" s="33" t="s">
        <v>205</v>
      </c>
      <c r="M3" s="33"/>
      <c r="N3" s="33"/>
      <c r="O3" s="33"/>
      <c r="P3" s="34"/>
      <c r="Q3" s="34"/>
      <c r="R3" s="34"/>
      <c r="S3" s="34"/>
      <c r="T3" s="34"/>
      <c r="U3" s="34"/>
      <c r="V3" s="34"/>
      <c r="W3" s="34"/>
      <c r="X3" s="34"/>
      <c r="Y3" s="34"/>
      <c r="Z3" s="34"/>
      <c r="AA3" s="34"/>
      <c r="AB3" s="34"/>
      <c r="AC3" s="34"/>
      <c r="AD3" s="34"/>
      <c r="AE3" s="33"/>
    </row>
    <row r="4" spans="1:31" ht="39">
      <c r="A4" s="31" t="s">
        <v>295</v>
      </c>
      <c r="B4" s="31" t="s">
        <v>296</v>
      </c>
      <c r="C4" s="31">
        <v>84046</v>
      </c>
      <c r="D4" s="31" t="s">
        <v>212</v>
      </c>
      <c r="E4" s="32" t="s">
        <v>375</v>
      </c>
      <c r="F4" s="33" t="s">
        <v>459</v>
      </c>
      <c r="G4" s="33"/>
      <c r="H4" s="33"/>
      <c r="I4" s="33"/>
      <c r="J4" s="31" t="s">
        <v>624</v>
      </c>
      <c r="K4" s="33" t="s">
        <v>205</v>
      </c>
      <c r="L4" s="33" t="s">
        <v>205</v>
      </c>
      <c r="M4" s="33"/>
      <c r="N4" s="33"/>
      <c r="O4" s="33"/>
      <c r="P4" s="34"/>
      <c r="Q4" s="34"/>
      <c r="R4" s="34"/>
      <c r="S4" s="34"/>
      <c r="T4" s="34"/>
      <c r="U4" s="34"/>
      <c r="V4" s="34"/>
      <c r="W4" s="34"/>
      <c r="X4" s="34"/>
      <c r="Y4" s="34"/>
      <c r="Z4" s="34"/>
      <c r="AA4" s="34"/>
      <c r="AB4" s="34"/>
      <c r="AC4" s="34"/>
      <c r="AD4" s="34"/>
      <c r="AE4" s="33"/>
    </row>
    <row r="5" spans="1:31" ht="78">
      <c r="A5" s="31" t="s">
        <v>297</v>
      </c>
      <c r="B5" s="31" t="s">
        <v>9</v>
      </c>
      <c r="C5" s="31">
        <v>89005</v>
      </c>
      <c r="D5" s="31" t="s">
        <v>213</v>
      </c>
      <c r="E5" s="32" t="s">
        <v>376</v>
      </c>
      <c r="F5" s="32" t="s">
        <v>460</v>
      </c>
      <c r="G5" s="33"/>
      <c r="H5" s="32"/>
      <c r="I5" s="31" t="s">
        <v>618</v>
      </c>
      <c r="J5" s="31" t="s">
        <v>626</v>
      </c>
      <c r="K5" s="33" t="s">
        <v>205</v>
      </c>
      <c r="L5" s="33" t="s">
        <v>205</v>
      </c>
      <c r="M5" s="31"/>
      <c r="N5" s="31" t="s">
        <v>539</v>
      </c>
      <c r="O5" s="31" t="s">
        <v>573</v>
      </c>
      <c r="P5" s="33" t="s">
        <v>204</v>
      </c>
      <c r="Q5" s="33" t="s">
        <v>201</v>
      </c>
      <c r="R5" s="33"/>
      <c r="S5" s="33"/>
      <c r="T5" s="33" t="s">
        <v>201</v>
      </c>
      <c r="U5" s="33"/>
      <c r="V5" s="33"/>
      <c r="W5" s="33"/>
      <c r="X5" s="33"/>
      <c r="Y5" s="33"/>
      <c r="Z5" s="33"/>
      <c r="AA5" s="33"/>
      <c r="AB5" s="33"/>
      <c r="AC5" s="33"/>
      <c r="AD5" s="33"/>
      <c r="AE5" s="33"/>
    </row>
    <row r="6" spans="1:31" ht="39">
      <c r="A6" s="31" t="s">
        <v>298</v>
      </c>
      <c r="B6" s="31" t="s">
        <v>11</v>
      </c>
      <c r="C6" s="31">
        <v>89006</v>
      </c>
      <c r="D6" s="31" t="s">
        <v>214</v>
      </c>
      <c r="E6" s="32" t="s">
        <v>377</v>
      </c>
      <c r="F6" s="33" t="s">
        <v>459</v>
      </c>
      <c r="G6" s="33"/>
      <c r="H6" s="33"/>
      <c r="I6" s="33"/>
      <c r="J6" s="31" t="s">
        <v>626</v>
      </c>
      <c r="K6" s="33" t="s">
        <v>205</v>
      </c>
      <c r="L6" s="33" t="s">
        <v>205</v>
      </c>
      <c r="M6" s="33"/>
      <c r="N6" s="33"/>
      <c r="O6" s="33"/>
      <c r="P6" s="33" t="s">
        <v>203</v>
      </c>
      <c r="Q6" s="33"/>
      <c r="R6" s="33"/>
      <c r="S6" s="33"/>
      <c r="T6" s="33"/>
      <c r="U6" s="33"/>
      <c r="V6" s="33"/>
      <c r="W6" s="33"/>
      <c r="X6" s="33"/>
      <c r="Y6" s="33"/>
      <c r="Z6" s="33"/>
      <c r="AA6" s="33"/>
      <c r="AB6" s="33"/>
      <c r="AC6" s="33"/>
      <c r="AD6" s="33"/>
      <c r="AE6" s="33"/>
    </row>
    <row r="7" spans="1:31" ht="39">
      <c r="A7" s="31" t="s">
        <v>299</v>
      </c>
      <c r="B7" s="31" t="s">
        <v>12</v>
      </c>
      <c r="C7" s="31">
        <v>89007</v>
      </c>
      <c r="D7" s="31" t="s">
        <v>215</v>
      </c>
      <c r="E7" s="32" t="s">
        <v>378</v>
      </c>
      <c r="F7" s="33" t="s">
        <v>459</v>
      </c>
      <c r="G7" s="33"/>
      <c r="H7" s="33"/>
      <c r="I7" s="33"/>
      <c r="J7" s="31" t="s">
        <v>626</v>
      </c>
      <c r="K7" s="33" t="s">
        <v>205</v>
      </c>
      <c r="L7" s="33" t="s">
        <v>205</v>
      </c>
      <c r="M7" s="33"/>
      <c r="N7" s="33"/>
      <c r="O7" s="33"/>
      <c r="P7" s="33" t="s">
        <v>203</v>
      </c>
      <c r="Q7" s="33"/>
      <c r="R7" s="33"/>
      <c r="S7" s="33"/>
      <c r="T7" s="33"/>
      <c r="U7" s="33"/>
      <c r="V7" s="33"/>
      <c r="W7" s="33"/>
      <c r="X7" s="33"/>
      <c r="Y7" s="33"/>
      <c r="Z7" s="33"/>
      <c r="AA7" s="33"/>
      <c r="AB7" s="33"/>
      <c r="AC7" s="33"/>
      <c r="AD7" s="33"/>
      <c r="AE7" s="33"/>
    </row>
    <row r="8" spans="1:31" ht="52">
      <c r="A8" s="31" t="s">
        <v>300</v>
      </c>
      <c r="B8" s="31" t="s">
        <v>14</v>
      </c>
      <c r="C8" s="31">
        <v>89008</v>
      </c>
      <c r="D8" s="31" t="s">
        <v>216</v>
      </c>
      <c r="E8" s="32" t="s">
        <v>448</v>
      </c>
      <c r="F8" s="32" t="s">
        <v>458</v>
      </c>
      <c r="G8" s="33"/>
      <c r="H8" s="33"/>
      <c r="I8" s="32" t="s">
        <v>617</v>
      </c>
      <c r="J8" s="31" t="s">
        <v>626</v>
      </c>
      <c r="K8" s="33" t="s">
        <v>205</v>
      </c>
      <c r="L8" s="33" t="s">
        <v>205</v>
      </c>
      <c r="M8" s="32"/>
      <c r="N8" s="32"/>
      <c r="O8" s="32"/>
      <c r="P8" s="33" t="s">
        <v>203</v>
      </c>
      <c r="Q8" s="33"/>
      <c r="R8" s="33"/>
      <c r="S8" s="33"/>
      <c r="T8" s="33"/>
      <c r="U8" s="33"/>
      <c r="V8" s="33"/>
      <c r="W8" s="33"/>
      <c r="X8" s="33"/>
      <c r="Y8" s="33"/>
      <c r="Z8" s="33"/>
      <c r="AA8" s="33"/>
      <c r="AB8" s="33"/>
      <c r="AC8" s="33"/>
      <c r="AD8" s="33"/>
      <c r="AE8" s="33"/>
    </row>
    <row r="9" spans="1:31" ht="39">
      <c r="A9" s="31" t="s">
        <v>301</v>
      </c>
      <c r="B9" s="31" t="s">
        <v>15</v>
      </c>
      <c r="C9" s="31">
        <v>89010</v>
      </c>
      <c r="D9" s="31" t="s">
        <v>217</v>
      </c>
      <c r="E9" s="32" t="s">
        <v>379</v>
      </c>
      <c r="F9" s="33" t="s">
        <v>459</v>
      </c>
      <c r="G9" s="33"/>
      <c r="H9" s="33"/>
      <c r="I9" s="33"/>
      <c r="J9" s="31" t="s">
        <v>626</v>
      </c>
      <c r="K9" s="33" t="s">
        <v>205</v>
      </c>
      <c r="L9" s="33" t="s">
        <v>205</v>
      </c>
      <c r="M9" s="33"/>
      <c r="N9" s="33"/>
      <c r="O9" s="33"/>
      <c r="P9" s="33" t="s">
        <v>203</v>
      </c>
      <c r="Q9" s="33"/>
      <c r="R9" s="33"/>
      <c r="S9" s="33"/>
      <c r="T9" s="33"/>
      <c r="U9" s="33"/>
      <c r="V9" s="33"/>
      <c r="W9" s="33"/>
      <c r="X9" s="33"/>
      <c r="Y9" s="33"/>
      <c r="Z9" s="33"/>
      <c r="AA9" s="33"/>
      <c r="AB9" s="33"/>
      <c r="AC9" s="33"/>
      <c r="AD9" s="33"/>
      <c r="AE9" s="33"/>
    </row>
    <row r="10" spans="1:31" ht="39">
      <c r="A10" s="31" t="s">
        <v>302</v>
      </c>
      <c r="B10" s="31" t="s">
        <v>16</v>
      </c>
      <c r="C10" s="31">
        <v>89011</v>
      </c>
      <c r="D10" s="31" t="s">
        <v>218</v>
      </c>
      <c r="E10" s="32" t="s">
        <v>380</v>
      </c>
      <c r="F10" s="33" t="s">
        <v>459</v>
      </c>
      <c r="G10" s="33"/>
      <c r="H10" s="33"/>
      <c r="I10" s="33"/>
      <c r="J10" s="31" t="s">
        <v>626</v>
      </c>
      <c r="K10" s="33" t="s">
        <v>205</v>
      </c>
      <c r="L10" s="33" t="s">
        <v>205</v>
      </c>
      <c r="M10" s="33"/>
      <c r="N10" s="33"/>
      <c r="O10" s="33"/>
      <c r="P10" s="33" t="s">
        <v>203</v>
      </c>
      <c r="Q10" s="33"/>
      <c r="R10" s="33"/>
      <c r="S10" s="33"/>
      <c r="T10" s="33"/>
      <c r="U10" s="33"/>
      <c r="V10" s="33"/>
      <c r="W10" s="33"/>
      <c r="X10" s="33"/>
      <c r="Y10" s="33"/>
      <c r="Z10" s="33"/>
      <c r="AA10" s="33"/>
      <c r="AB10" s="33"/>
      <c r="AC10" s="33"/>
      <c r="AD10" s="33"/>
      <c r="AE10" s="33"/>
    </row>
    <row r="11" spans="1:31" ht="39">
      <c r="A11" s="31" t="s">
        <v>303</v>
      </c>
      <c r="B11" s="31" t="s">
        <v>17</v>
      </c>
      <c r="C11" s="31">
        <v>89012</v>
      </c>
      <c r="D11" s="31" t="s">
        <v>219</v>
      </c>
      <c r="E11" s="32" t="s">
        <v>381</v>
      </c>
      <c r="F11" s="33" t="s">
        <v>459</v>
      </c>
      <c r="G11" s="33"/>
      <c r="H11" s="33"/>
      <c r="I11" s="33"/>
      <c r="J11" s="31" t="s">
        <v>626</v>
      </c>
      <c r="K11" s="33" t="s">
        <v>205</v>
      </c>
      <c r="L11" s="33" t="s">
        <v>205</v>
      </c>
      <c r="M11" s="33"/>
      <c r="N11" s="33"/>
      <c r="O11" s="33"/>
      <c r="P11" s="33" t="s">
        <v>203</v>
      </c>
      <c r="Q11" s="33"/>
      <c r="R11" s="33"/>
      <c r="S11" s="33"/>
      <c r="T11" s="33"/>
      <c r="U11" s="33"/>
      <c r="V11" s="33"/>
      <c r="W11" s="33"/>
      <c r="X11" s="33"/>
      <c r="Y11" s="33"/>
      <c r="Z11" s="33"/>
      <c r="AA11" s="33"/>
      <c r="AB11" s="33"/>
      <c r="AC11" s="33"/>
      <c r="AD11" s="33"/>
      <c r="AE11" s="33"/>
    </row>
    <row r="12" spans="1:31" ht="52">
      <c r="A12" s="31" t="s">
        <v>304</v>
      </c>
      <c r="B12" s="31" t="s">
        <v>18</v>
      </c>
      <c r="C12" s="31">
        <v>89013</v>
      </c>
      <c r="D12" s="31" t="s">
        <v>220</v>
      </c>
      <c r="E12" s="32" t="s">
        <v>382</v>
      </c>
      <c r="F12" s="32" t="s">
        <v>458</v>
      </c>
      <c r="G12" s="33"/>
      <c r="H12" s="33"/>
      <c r="I12" s="32" t="s">
        <v>616</v>
      </c>
      <c r="J12" s="31" t="s">
        <v>626</v>
      </c>
      <c r="K12" s="33" t="s">
        <v>205</v>
      </c>
      <c r="L12" s="33" t="s">
        <v>205</v>
      </c>
      <c r="M12" s="32"/>
      <c r="N12" s="32"/>
      <c r="O12" s="32"/>
      <c r="P12" s="33" t="s">
        <v>203</v>
      </c>
      <c r="Q12" s="33"/>
      <c r="R12" s="33"/>
      <c r="S12" s="33"/>
      <c r="T12" s="33"/>
      <c r="U12" s="33"/>
      <c r="V12" s="33"/>
      <c r="W12" s="33"/>
      <c r="X12" s="33"/>
      <c r="Y12" s="33"/>
      <c r="Z12" s="33"/>
      <c r="AA12" s="33" t="s">
        <v>204</v>
      </c>
      <c r="AB12" s="33"/>
      <c r="AC12" s="33"/>
      <c r="AD12" s="33" t="s">
        <v>201</v>
      </c>
      <c r="AE12" s="33"/>
    </row>
    <row r="13" spans="1:31" ht="52">
      <c r="A13" s="31" t="s">
        <v>305</v>
      </c>
      <c r="B13" s="31" t="s">
        <v>21</v>
      </c>
      <c r="C13" s="31">
        <v>89014</v>
      </c>
      <c r="D13" s="31" t="s">
        <v>221</v>
      </c>
      <c r="E13" s="32" t="s">
        <v>383</v>
      </c>
      <c r="F13" s="32" t="s">
        <v>458</v>
      </c>
      <c r="G13" s="33"/>
      <c r="H13" s="33"/>
      <c r="I13" s="32" t="s">
        <v>615</v>
      </c>
      <c r="J13" s="31" t="s">
        <v>626</v>
      </c>
      <c r="K13" s="33" t="s">
        <v>205</v>
      </c>
      <c r="L13" s="33" t="s">
        <v>205</v>
      </c>
      <c r="M13" s="32"/>
      <c r="N13" s="32"/>
      <c r="O13" s="32"/>
      <c r="P13" s="33" t="s">
        <v>203</v>
      </c>
      <c r="Q13" s="33"/>
      <c r="R13" s="33"/>
      <c r="S13" s="33"/>
      <c r="T13" s="33"/>
      <c r="U13" s="33"/>
      <c r="V13" s="33"/>
      <c r="W13" s="33"/>
      <c r="X13" s="33"/>
      <c r="Y13" s="33"/>
      <c r="Z13" s="33"/>
      <c r="AA13" s="33" t="s">
        <v>204</v>
      </c>
      <c r="AB13" s="33"/>
      <c r="AC13" s="33"/>
      <c r="AD13" s="33" t="s">
        <v>201</v>
      </c>
      <c r="AE13" s="33"/>
    </row>
    <row r="14" spans="1:31" ht="39">
      <c r="A14" s="31" t="s">
        <v>306</v>
      </c>
      <c r="B14" s="31" t="s">
        <v>22</v>
      </c>
      <c r="C14" s="31">
        <v>89016</v>
      </c>
      <c r="D14" s="31" t="s">
        <v>222</v>
      </c>
      <c r="E14" s="32" t="s">
        <v>384</v>
      </c>
      <c r="F14" s="32" t="s">
        <v>460</v>
      </c>
      <c r="G14" s="32" t="s">
        <v>444</v>
      </c>
      <c r="H14" s="33"/>
      <c r="I14" s="33"/>
      <c r="J14" s="31" t="s">
        <v>626</v>
      </c>
      <c r="K14" s="33" t="s">
        <v>205</v>
      </c>
      <c r="L14" s="33" t="s">
        <v>205</v>
      </c>
      <c r="M14" s="33"/>
      <c r="N14" s="33"/>
      <c r="O14" s="33"/>
      <c r="P14" s="33" t="s">
        <v>203</v>
      </c>
      <c r="Q14" s="33"/>
      <c r="R14" s="33"/>
      <c r="S14" s="33"/>
      <c r="T14" s="33"/>
      <c r="U14" s="33"/>
      <c r="V14" s="33"/>
      <c r="W14" s="33"/>
      <c r="X14" s="33"/>
      <c r="Y14" s="33"/>
      <c r="Z14" s="33"/>
      <c r="AA14" s="33"/>
      <c r="AB14" s="33"/>
      <c r="AC14" s="33"/>
      <c r="AD14" s="33"/>
      <c r="AE14" s="33"/>
    </row>
    <row r="15" spans="1:31" ht="39">
      <c r="A15" s="31" t="s">
        <v>307</v>
      </c>
      <c r="B15" s="31" t="s">
        <v>23</v>
      </c>
      <c r="C15" s="31">
        <v>89017</v>
      </c>
      <c r="D15" s="31" t="s">
        <v>223</v>
      </c>
      <c r="E15" s="32" t="s">
        <v>385</v>
      </c>
      <c r="F15" s="32" t="s">
        <v>460</v>
      </c>
      <c r="G15" s="32" t="s">
        <v>444</v>
      </c>
      <c r="H15" s="33"/>
      <c r="I15" s="33"/>
      <c r="J15" s="31" t="s">
        <v>626</v>
      </c>
      <c r="K15" s="33" t="s">
        <v>205</v>
      </c>
      <c r="L15" s="33" t="s">
        <v>205</v>
      </c>
      <c r="M15" s="33"/>
      <c r="N15" s="33"/>
      <c r="O15" s="33"/>
      <c r="P15" s="33" t="s">
        <v>203</v>
      </c>
      <c r="Q15" s="33"/>
      <c r="R15" s="33"/>
      <c r="S15" s="33"/>
      <c r="T15" s="33"/>
      <c r="U15" s="33"/>
      <c r="V15" s="33"/>
      <c r="W15" s="33"/>
      <c r="X15" s="33"/>
      <c r="Y15" s="33"/>
      <c r="Z15" s="33"/>
      <c r="AA15" s="33"/>
      <c r="AB15" s="33"/>
      <c r="AC15" s="33"/>
      <c r="AD15" s="33"/>
      <c r="AE15" s="33"/>
    </row>
    <row r="16" spans="1:31" ht="52">
      <c r="A16" s="31" t="s">
        <v>308</v>
      </c>
      <c r="B16" s="31" t="s">
        <v>24</v>
      </c>
      <c r="C16" s="31">
        <v>89018</v>
      </c>
      <c r="D16" s="31" t="s">
        <v>224</v>
      </c>
      <c r="E16" s="32" t="s">
        <v>386</v>
      </c>
      <c r="F16" s="32" t="s">
        <v>458</v>
      </c>
      <c r="G16" s="33"/>
      <c r="H16" s="32"/>
      <c r="I16" s="32" t="s">
        <v>614</v>
      </c>
      <c r="J16" s="31" t="s">
        <v>626</v>
      </c>
      <c r="K16" s="33" t="s">
        <v>205</v>
      </c>
      <c r="L16" s="33" t="s">
        <v>205</v>
      </c>
      <c r="M16" s="32"/>
      <c r="N16" s="32"/>
      <c r="O16" s="32"/>
      <c r="P16" s="33" t="s">
        <v>203</v>
      </c>
      <c r="Q16" s="33"/>
      <c r="R16" s="33"/>
      <c r="S16" s="33"/>
      <c r="T16" s="33"/>
      <c r="U16" s="33"/>
      <c r="V16" s="33"/>
      <c r="W16" s="33"/>
      <c r="X16" s="33"/>
      <c r="Y16" s="33"/>
      <c r="Z16" s="33"/>
      <c r="AA16" s="33"/>
      <c r="AB16" s="33"/>
      <c r="AC16" s="33"/>
      <c r="AD16" s="33"/>
      <c r="AE16" s="33"/>
    </row>
    <row r="17" spans="1:31" ht="39">
      <c r="A17" s="31" t="s">
        <v>309</v>
      </c>
      <c r="B17" s="31" t="s">
        <v>25</v>
      </c>
      <c r="C17" s="31">
        <v>89019</v>
      </c>
      <c r="D17" s="31" t="s">
        <v>225</v>
      </c>
      <c r="E17" s="32" t="s">
        <v>387</v>
      </c>
      <c r="F17" s="33" t="s">
        <v>458</v>
      </c>
      <c r="G17" s="33"/>
      <c r="H17" s="33"/>
      <c r="I17" s="32" t="s">
        <v>613</v>
      </c>
      <c r="J17" s="31" t="s">
        <v>626</v>
      </c>
      <c r="K17" s="33" t="s">
        <v>205</v>
      </c>
      <c r="L17" s="33" t="s">
        <v>205</v>
      </c>
      <c r="M17" s="32"/>
      <c r="N17" s="32"/>
      <c r="O17" s="32"/>
      <c r="P17" s="33" t="s">
        <v>203</v>
      </c>
      <c r="Q17" s="33"/>
      <c r="R17" s="33"/>
      <c r="S17" s="33"/>
      <c r="T17" s="33"/>
      <c r="U17" s="33"/>
      <c r="V17" s="33"/>
      <c r="W17" s="33"/>
      <c r="X17" s="33"/>
      <c r="Y17" s="33"/>
      <c r="Z17" s="33"/>
      <c r="AA17" s="33"/>
      <c r="AB17" s="33"/>
      <c r="AC17" s="33"/>
      <c r="AD17" s="33"/>
      <c r="AE17" s="33"/>
    </row>
    <row r="18" spans="1:31" ht="52">
      <c r="A18" s="31" t="s">
        <v>310</v>
      </c>
      <c r="B18" s="31" t="s">
        <v>27</v>
      </c>
      <c r="C18" s="31">
        <v>89020</v>
      </c>
      <c r="D18" s="31" t="s">
        <v>226</v>
      </c>
      <c r="E18" s="32" t="s">
        <v>388</v>
      </c>
      <c r="F18" s="32" t="s">
        <v>458</v>
      </c>
      <c r="G18" s="33"/>
      <c r="H18" s="33"/>
      <c r="I18" s="32" t="s">
        <v>612</v>
      </c>
      <c r="J18" s="31" t="s">
        <v>626</v>
      </c>
      <c r="K18" s="33" t="s">
        <v>205</v>
      </c>
      <c r="L18" s="33" t="s">
        <v>205</v>
      </c>
      <c r="M18" s="32"/>
      <c r="N18" s="32"/>
      <c r="O18" s="32"/>
      <c r="P18" s="33" t="s">
        <v>203</v>
      </c>
      <c r="Q18" s="33"/>
      <c r="R18" s="33"/>
      <c r="S18" s="33"/>
      <c r="T18" s="33"/>
      <c r="U18" s="33"/>
      <c r="V18" s="33"/>
      <c r="W18" s="33"/>
      <c r="X18" s="33"/>
      <c r="Y18" s="33"/>
      <c r="Z18" s="33"/>
      <c r="AA18" s="33"/>
      <c r="AB18" s="33"/>
      <c r="AC18" s="33"/>
      <c r="AD18" s="33"/>
      <c r="AE18" s="33"/>
    </row>
    <row r="19" spans="1:31" ht="52">
      <c r="A19" s="31" t="s">
        <v>311</v>
      </c>
      <c r="B19" s="31" t="s">
        <v>28</v>
      </c>
      <c r="C19" s="31">
        <v>89021</v>
      </c>
      <c r="D19" s="31" t="s">
        <v>227</v>
      </c>
      <c r="E19" s="32" t="s">
        <v>389</v>
      </c>
      <c r="F19" s="32" t="s">
        <v>458</v>
      </c>
      <c r="G19" s="33"/>
      <c r="H19" s="33"/>
      <c r="I19" s="32" t="s">
        <v>611</v>
      </c>
      <c r="J19" s="31" t="s">
        <v>626</v>
      </c>
      <c r="K19" s="33" t="s">
        <v>205</v>
      </c>
      <c r="L19" s="33" t="s">
        <v>205</v>
      </c>
      <c r="M19" s="32"/>
      <c r="N19" s="32"/>
      <c r="O19" s="32"/>
      <c r="P19" s="33" t="s">
        <v>203</v>
      </c>
      <c r="Q19" s="33"/>
      <c r="R19" s="33"/>
      <c r="S19" s="33"/>
      <c r="T19" s="33"/>
      <c r="U19" s="33"/>
      <c r="V19" s="33"/>
      <c r="W19" s="33"/>
      <c r="X19" s="33"/>
      <c r="Y19" s="33"/>
      <c r="Z19" s="33"/>
      <c r="AA19" s="33"/>
      <c r="AB19" s="33"/>
      <c r="AC19" s="33"/>
      <c r="AD19" s="33"/>
      <c r="AE19" s="33"/>
    </row>
    <row r="20" spans="1:31" ht="52">
      <c r="A20" s="31" t="s">
        <v>312</v>
      </c>
      <c r="B20" s="31" t="s">
        <v>30</v>
      </c>
      <c r="C20" s="31">
        <v>89022</v>
      </c>
      <c r="D20" s="31" t="s">
        <v>228</v>
      </c>
      <c r="E20" s="32" t="s">
        <v>390</v>
      </c>
      <c r="F20" s="32" t="s">
        <v>458</v>
      </c>
      <c r="G20" s="33"/>
      <c r="H20" s="33"/>
      <c r="I20" s="32" t="s">
        <v>610</v>
      </c>
      <c r="J20" s="31" t="s">
        <v>626</v>
      </c>
      <c r="K20" s="33" t="s">
        <v>205</v>
      </c>
      <c r="L20" s="33" t="s">
        <v>205</v>
      </c>
      <c r="M20" s="32"/>
      <c r="N20" s="32"/>
      <c r="O20" s="32"/>
      <c r="P20" s="33" t="s">
        <v>203</v>
      </c>
      <c r="Q20" s="33"/>
      <c r="R20" s="33"/>
      <c r="S20" s="33"/>
      <c r="T20" s="33"/>
      <c r="U20" s="33"/>
      <c r="V20" s="33"/>
      <c r="W20" s="33"/>
      <c r="X20" s="33"/>
      <c r="Y20" s="33"/>
      <c r="Z20" s="33"/>
      <c r="AA20" s="33"/>
      <c r="AB20" s="33"/>
      <c r="AC20" s="33"/>
      <c r="AD20" s="33"/>
      <c r="AE20" s="33"/>
    </row>
    <row r="21" spans="1:31" ht="104">
      <c r="A21" s="31" t="s">
        <v>313</v>
      </c>
      <c r="B21" s="31" t="s">
        <v>29</v>
      </c>
      <c r="C21" s="31">
        <v>89023</v>
      </c>
      <c r="D21" s="31" t="s">
        <v>229</v>
      </c>
      <c r="E21" s="32" t="s">
        <v>528</v>
      </c>
      <c r="F21" s="32" t="s">
        <v>460</v>
      </c>
      <c r="G21" s="32" t="s">
        <v>449</v>
      </c>
      <c r="H21" s="33"/>
      <c r="I21" s="31" t="s">
        <v>609</v>
      </c>
      <c r="J21" s="31" t="s">
        <v>626</v>
      </c>
      <c r="K21" s="33" t="s">
        <v>205</v>
      </c>
      <c r="L21" s="33" t="s">
        <v>205</v>
      </c>
      <c r="M21" s="31"/>
      <c r="N21" s="33" t="s">
        <v>532</v>
      </c>
      <c r="O21" s="33" t="s">
        <v>572</v>
      </c>
      <c r="P21" s="33" t="s">
        <v>204</v>
      </c>
      <c r="Q21" s="33"/>
      <c r="R21" s="33"/>
      <c r="S21" s="33"/>
      <c r="T21" s="33"/>
      <c r="U21" s="33"/>
      <c r="V21" s="33"/>
      <c r="W21" s="33"/>
      <c r="X21" s="33"/>
      <c r="Y21" s="33" t="s">
        <v>201</v>
      </c>
      <c r="Z21" s="33"/>
      <c r="AA21" s="33"/>
      <c r="AB21" s="33"/>
      <c r="AC21" s="33"/>
      <c r="AD21" s="33"/>
      <c r="AE21" s="33"/>
    </row>
    <row r="22" spans="1:31" ht="104">
      <c r="A22" s="31" t="s">
        <v>314</v>
      </c>
      <c r="B22" s="31" t="s">
        <v>33</v>
      </c>
      <c r="C22" s="31">
        <v>89024</v>
      </c>
      <c r="D22" s="31" t="s">
        <v>230</v>
      </c>
      <c r="E22" s="32" t="s">
        <v>391</v>
      </c>
      <c r="F22" s="32" t="s">
        <v>460</v>
      </c>
      <c r="G22" s="33"/>
      <c r="H22" s="33"/>
      <c r="I22" s="31" t="s">
        <v>608</v>
      </c>
      <c r="J22" s="31" t="s">
        <v>626</v>
      </c>
      <c r="K22" s="33" t="s">
        <v>205</v>
      </c>
      <c r="L22" s="33" t="s">
        <v>205</v>
      </c>
      <c r="M22" s="31"/>
      <c r="N22" s="33" t="s">
        <v>570</v>
      </c>
      <c r="O22" s="33" t="s">
        <v>571</v>
      </c>
      <c r="P22" s="33" t="s">
        <v>204</v>
      </c>
      <c r="Q22" s="33"/>
      <c r="R22" s="33"/>
      <c r="S22" s="33"/>
      <c r="T22" s="33"/>
      <c r="U22" s="33"/>
      <c r="V22" s="33"/>
      <c r="W22" s="33"/>
      <c r="X22" s="33"/>
      <c r="Y22" s="33"/>
      <c r="Z22" s="33" t="s">
        <v>201</v>
      </c>
      <c r="AA22" s="33"/>
      <c r="AB22" s="33"/>
      <c r="AC22" s="33"/>
      <c r="AD22" s="33"/>
      <c r="AE22" s="33"/>
    </row>
    <row r="23" spans="1:31" ht="117">
      <c r="A23" s="31" t="s">
        <v>315</v>
      </c>
      <c r="B23" s="31" t="s">
        <v>36</v>
      </c>
      <c r="C23" s="31">
        <v>89025</v>
      </c>
      <c r="D23" s="31" t="s">
        <v>231</v>
      </c>
      <c r="E23" s="32" t="s">
        <v>392</v>
      </c>
      <c r="F23" s="32" t="s">
        <v>460</v>
      </c>
      <c r="G23" s="32" t="s">
        <v>452</v>
      </c>
      <c r="H23" s="33"/>
      <c r="I23" s="32" t="s">
        <v>607</v>
      </c>
      <c r="J23" s="31" t="s">
        <v>626</v>
      </c>
      <c r="K23" s="33" t="s">
        <v>205</v>
      </c>
      <c r="L23" s="33" t="s">
        <v>205</v>
      </c>
      <c r="M23" s="32"/>
      <c r="N23" s="33" t="s">
        <v>532</v>
      </c>
      <c r="O23" s="33" t="s">
        <v>569</v>
      </c>
      <c r="P23" s="33" t="s">
        <v>204</v>
      </c>
      <c r="Q23" s="33"/>
      <c r="R23" s="33"/>
      <c r="S23" s="33"/>
      <c r="T23" s="33"/>
      <c r="U23" s="33"/>
      <c r="V23" s="33"/>
      <c r="W23" s="33"/>
      <c r="X23" s="33"/>
      <c r="Y23" s="33" t="s">
        <v>201</v>
      </c>
      <c r="Z23" s="33"/>
      <c r="AA23" s="33"/>
      <c r="AB23" s="33"/>
      <c r="AC23" s="33"/>
      <c r="AD23" s="33"/>
      <c r="AE23" s="33"/>
    </row>
    <row r="24" spans="1:31" ht="130">
      <c r="A24" s="31" t="s">
        <v>316</v>
      </c>
      <c r="B24" s="31" t="s">
        <v>38</v>
      </c>
      <c r="C24" s="31">
        <v>89026</v>
      </c>
      <c r="D24" s="31" t="s">
        <v>232</v>
      </c>
      <c r="E24" s="32" t="s">
        <v>393</v>
      </c>
      <c r="F24" s="32" t="s">
        <v>460</v>
      </c>
      <c r="G24" s="33"/>
      <c r="H24" s="33"/>
      <c r="I24" s="31" t="s">
        <v>606</v>
      </c>
      <c r="J24" s="31" t="s">
        <v>626</v>
      </c>
      <c r="K24" s="33" t="s">
        <v>205</v>
      </c>
      <c r="L24" s="33" t="s">
        <v>205</v>
      </c>
      <c r="M24" s="31"/>
      <c r="N24" s="33" t="s">
        <v>10</v>
      </c>
      <c r="O24" s="33" t="s">
        <v>568</v>
      </c>
      <c r="P24" s="33" t="s">
        <v>204</v>
      </c>
      <c r="Q24" s="33"/>
      <c r="R24" s="33"/>
      <c r="S24" s="33"/>
      <c r="T24" s="33"/>
      <c r="U24" s="33"/>
      <c r="V24" s="33"/>
      <c r="W24" s="33"/>
      <c r="X24" s="33"/>
      <c r="Y24" s="33"/>
      <c r="Z24" s="33" t="s">
        <v>205</v>
      </c>
      <c r="AA24" s="33"/>
      <c r="AB24" s="33"/>
      <c r="AC24" s="33"/>
      <c r="AD24" s="33"/>
      <c r="AE24" s="33"/>
    </row>
    <row r="25" spans="1:31" ht="156">
      <c r="A25" s="31" t="s">
        <v>317</v>
      </c>
      <c r="B25" s="31" t="s">
        <v>42</v>
      </c>
      <c r="C25" s="31">
        <v>89027</v>
      </c>
      <c r="D25" s="31" t="s">
        <v>233</v>
      </c>
      <c r="E25" s="32" t="s">
        <v>394</v>
      </c>
      <c r="F25" s="32" t="s">
        <v>460</v>
      </c>
      <c r="G25" s="33" t="s">
        <v>453</v>
      </c>
      <c r="H25" s="33"/>
      <c r="I25" s="31" t="s">
        <v>605</v>
      </c>
      <c r="J25" s="31" t="s">
        <v>626</v>
      </c>
      <c r="K25" s="33" t="s">
        <v>205</v>
      </c>
      <c r="L25" s="33" t="s">
        <v>205</v>
      </c>
      <c r="M25" s="31"/>
      <c r="N25" s="33" t="s">
        <v>566</v>
      </c>
      <c r="O25" s="33" t="s">
        <v>567</v>
      </c>
      <c r="P25" s="33" t="s">
        <v>204</v>
      </c>
      <c r="Q25" s="33"/>
      <c r="R25" s="33"/>
      <c r="S25" s="33"/>
      <c r="T25" s="33"/>
      <c r="U25" s="33"/>
      <c r="V25" s="33"/>
      <c r="W25" s="33"/>
      <c r="X25" s="33"/>
      <c r="Y25" s="33" t="s">
        <v>201</v>
      </c>
      <c r="Z25" s="33"/>
      <c r="AA25" s="33"/>
      <c r="AB25" s="33"/>
      <c r="AC25" s="33"/>
      <c r="AD25" s="33"/>
      <c r="AE25" s="33"/>
    </row>
    <row r="26" spans="1:31" ht="104">
      <c r="A26" s="31" t="s">
        <v>318</v>
      </c>
      <c r="B26" s="31" t="s">
        <v>44</v>
      </c>
      <c r="C26" s="31">
        <v>89028</v>
      </c>
      <c r="D26" s="31" t="s">
        <v>234</v>
      </c>
      <c r="E26" s="32" t="s">
        <v>395</v>
      </c>
      <c r="F26" s="32" t="s">
        <v>460</v>
      </c>
      <c r="G26" s="33" t="s">
        <v>454</v>
      </c>
      <c r="H26" s="33"/>
      <c r="I26" s="33"/>
      <c r="J26" s="31" t="s">
        <v>626</v>
      </c>
      <c r="K26" s="33" t="s">
        <v>205</v>
      </c>
      <c r="L26" s="33" t="s">
        <v>205</v>
      </c>
      <c r="M26" s="33"/>
      <c r="N26" s="33" t="s">
        <v>5</v>
      </c>
      <c r="O26" s="33" t="s">
        <v>565</v>
      </c>
      <c r="P26" s="33" t="s">
        <v>204</v>
      </c>
      <c r="Q26" s="33"/>
      <c r="R26" s="33"/>
      <c r="S26" s="33"/>
      <c r="T26" s="33"/>
      <c r="U26" s="33"/>
      <c r="V26" s="33"/>
      <c r="W26" s="33"/>
      <c r="X26" s="33"/>
      <c r="Y26" s="33" t="s">
        <v>201</v>
      </c>
      <c r="Z26" s="33"/>
      <c r="AA26" s="33"/>
      <c r="AB26" s="33"/>
      <c r="AC26" s="33"/>
      <c r="AD26" s="33"/>
      <c r="AE26" s="33"/>
    </row>
    <row r="27" spans="1:31" ht="104">
      <c r="A27" s="31" t="s">
        <v>319</v>
      </c>
      <c r="B27" s="31" t="s">
        <v>46</v>
      </c>
      <c r="C27" s="31">
        <v>89029</v>
      </c>
      <c r="D27" s="31" t="s">
        <v>235</v>
      </c>
      <c r="E27" s="32" t="s">
        <v>395</v>
      </c>
      <c r="F27" s="32" t="s">
        <v>460</v>
      </c>
      <c r="G27" s="33" t="s">
        <v>454</v>
      </c>
      <c r="H27" s="33"/>
      <c r="I27" s="33"/>
      <c r="J27" s="31" t="s">
        <v>626</v>
      </c>
      <c r="K27" s="33" t="s">
        <v>205</v>
      </c>
      <c r="L27" s="33" t="s">
        <v>205</v>
      </c>
      <c r="M27" s="33"/>
      <c r="N27" s="33" t="s">
        <v>5</v>
      </c>
      <c r="O27" s="33" t="s">
        <v>565</v>
      </c>
      <c r="P27" s="33" t="s">
        <v>204</v>
      </c>
      <c r="Q27" s="33"/>
      <c r="R27" s="33"/>
      <c r="S27" s="33"/>
      <c r="T27" s="33"/>
      <c r="U27" s="33"/>
      <c r="V27" s="33"/>
      <c r="W27" s="33"/>
      <c r="X27" s="33"/>
      <c r="Y27" s="33" t="s">
        <v>201</v>
      </c>
      <c r="Z27" s="33"/>
      <c r="AA27" s="33"/>
      <c r="AB27" s="33"/>
      <c r="AC27" s="33"/>
      <c r="AD27" s="33"/>
      <c r="AE27" s="33"/>
    </row>
    <row r="28" spans="1:31" ht="78">
      <c r="A28" s="31" t="s">
        <v>320</v>
      </c>
      <c r="B28" s="31" t="s">
        <v>47</v>
      </c>
      <c r="C28" s="31">
        <v>89032</v>
      </c>
      <c r="D28" s="31" t="s">
        <v>236</v>
      </c>
      <c r="E28" s="32" t="s">
        <v>396</v>
      </c>
      <c r="F28" s="32" t="s">
        <v>460</v>
      </c>
      <c r="G28" s="33"/>
      <c r="H28" s="33"/>
      <c r="I28" s="33"/>
      <c r="J28" s="31" t="s">
        <v>626</v>
      </c>
      <c r="K28" s="33" t="s">
        <v>205</v>
      </c>
      <c r="L28" s="33" t="s">
        <v>205</v>
      </c>
      <c r="M28" s="33"/>
      <c r="N28" s="33" t="s">
        <v>10</v>
      </c>
      <c r="O28" s="33" t="s">
        <v>564</v>
      </c>
      <c r="P28" s="33" t="s">
        <v>204</v>
      </c>
      <c r="Q28" s="33"/>
      <c r="R28" s="33"/>
      <c r="S28" s="33"/>
      <c r="T28" s="33"/>
      <c r="U28" s="33" t="s">
        <v>201</v>
      </c>
      <c r="V28" s="33" t="s">
        <v>201</v>
      </c>
      <c r="W28" s="33"/>
      <c r="X28" s="33"/>
      <c r="Y28" s="33"/>
      <c r="Z28" s="33"/>
      <c r="AA28" s="33"/>
      <c r="AB28" s="33"/>
      <c r="AC28" s="33"/>
      <c r="AD28" s="33"/>
      <c r="AE28" s="33"/>
    </row>
    <row r="29" spans="1:31" ht="91">
      <c r="A29" s="31" t="s">
        <v>321</v>
      </c>
      <c r="B29" s="31" t="s">
        <v>50</v>
      </c>
      <c r="C29" s="31">
        <v>89033</v>
      </c>
      <c r="D29" s="31" t="s">
        <v>237</v>
      </c>
      <c r="E29" s="32" t="s">
        <v>468</v>
      </c>
      <c r="F29" s="32" t="s">
        <v>460</v>
      </c>
      <c r="G29" s="33"/>
      <c r="H29" s="33"/>
      <c r="I29" s="33"/>
      <c r="J29" s="31" t="s">
        <v>626</v>
      </c>
      <c r="K29" s="33" t="s">
        <v>205</v>
      </c>
      <c r="L29" s="33" t="s">
        <v>205</v>
      </c>
      <c r="M29" s="33"/>
      <c r="N29" s="33" t="s">
        <v>10</v>
      </c>
      <c r="O29" s="33" t="s">
        <v>563</v>
      </c>
      <c r="P29" s="33" t="s">
        <v>204</v>
      </c>
      <c r="Q29" s="33"/>
      <c r="R29" s="33"/>
      <c r="S29" s="33"/>
      <c r="T29" s="33"/>
      <c r="U29" s="33"/>
      <c r="V29" s="33" t="s">
        <v>201</v>
      </c>
      <c r="W29" s="33"/>
      <c r="X29" s="33"/>
      <c r="Y29" s="33"/>
      <c r="Z29" s="33"/>
      <c r="AA29" s="33"/>
      <c r="AB29" s="33"/>
      <c r="AC29" s="33"/>
      <c r="AD29" s="33"/>
      <c r="AE29" s="33"/>
    </row>
    <row r="30" spans="1:31" ht="78">
      <c r="A30" s="31" t="s">
        <v>322</v>
      </c>
      <c r="B30" s="31" t="s">
        <v>51</v>
      </c>
      <c r="C30" s="31">
        <v>89034</v>
      </c>
      <c r="D30" s="31" t="s">
        <v>238</v>
      </c>
      <c r="E30" s="32" t="s">
        <v>397</v>
      </c>
      <c r="F30" s="32" t="s">
        <v>460</v>
      </c>
      <c r="G30" s="33"/>
      <c r="H30" s="33"/>
      <c r="I30" s="33"/>
      <c r="J30" s="31" t="s">
        <v>626</v>
      </c>
      <c r="K30" s="33" t="s">
        <v>205</v>
      </c>
      <c r="L30" s="33" t="s">
        <v>205</v>
      </c>
      <c r="M30" s="33"/>
      <c r="N30" s="33" t="s">
        <v>10</v>
      </c>
      <c r="O30" s="33" t="s">
        <v>562</v>
      </c>
      <c r="P30" s="33" t="s">
        <v>204</v>
      </c>
      <c r="Q30" s="33"/>
      <c r="R30" s="33"/>
      <c r="S30" s="33"/>
      <c r="T30" s="33"/>
      <c r="U30" s="33"/>
      <c r="V30" s="33" t="s">
        <v>201</v>
      </c>
      <c r="W30" s="33"/>
      <c r="X30" s="33"/>
      <c r="Y30" s="33"/>
      <c r="Z30" s="33"/>
      <c r="AA30" s="33"/>
      <c r="AB30" s="33"/>
      <c r="AC30" s="33"/>
      <c r="AD30" s="33"/>
      <c r="AE30" s="33"/>
    </row>
    <row r="31" spans="1:31" ht="39">
      <c r="A31" s="31" t="s">
        <v>323</v>
      </c>
      <c r="B31" s="31" t="s">
        <v>53</v>
      </c>
      <c r="C31" s="31">
        <v>89035</v>
      </c>
      <c r="D31" s="31" t="s">
        <v>239</v>
      </c>
      <c r="E31" s="32" t="s">
        <v>398</v>
      </c>
      <c r="F31" s="33" t="s">
        <v>459</v>
      </c>
      <c r="G31" s="33"/>
      <c r="H31" s="33"/>
      <c r="I31" s="33"/>
      <c r="J31" s="31" t="s">
        <v>626</v>
      </c>
      <c r="K31" s="33" t="s">
        <v>205</v>
      </c>
      <c r="L31" s="33" t="s">
        <v>205</v>
      </c>
      <c r="M31" s="33"/>
      <c r="N31" s="33"/>
      <c r="O31" s="33"/>
      <c r="P31" s="33" t="s">
        <v>204</v>
      </c>
      <c r="Q31" s="33"/>
      <c r="R31" s="33"/>
      <c r="S31" s="33"/>
      <c r="T31" s="33"/>
      <c r="U31" s="33" t="s">
        <v>201</v>
      </c>
      <c r="V31" s="33"/>
      <c r="W31" s="33" t="s">
        <v>201</v>
      </c>
      <c r="X31" s="33"/>
      <c r="Y31" s="33"/>
      <c r="Z31" s="33"/>
      <c r="AA31" s="33"/>
      <c r="AB31" s="33"/>
      <c r="AC31" s="33"/>
      <c r="AD31" s="33"/>
      <c r="AE31" s="33"/>
    </row>
    <row r="32" spans="1:31" ht="39">
      <c r="A32" s="31" t="s">
        <v>324</v>
      </c>
      <c r="B32" s="31" t="s">
        <v>54</v>
      </c>
      <c r="C32" s="31">
        <v>89036</v>
      </c>
      <c r="D32" s="31" t="s">
        <v>240</v>
      </c>
      <c r="E32" s="32" t="s">
        <v>399</v>
      </c>
      <c r="F32" s="33" t="s">
        <v>459</v>
      </c>
      <c r="G32" s="33"/>
      <c r="H32" s="33"/>
      <c r="I32" s="33"/>
      <c r="J32" s="31" t="s">
        <v>626</v>
      </c>
      <c r="K32" s="33" t="s">
        <v>205</v>
      </c>
      <c r="L32" s="33" t="s">
        <v>205</v>
      </c>
      <c r="M32" s="33"/>
      <c r="N32" s="33"/>
      <c r="O32" s="33"/>
      <c r="P32" s="33" t="s">
        <v>204</v>
      </c>
      <c r="Q32" s="33"/>
      <c r="R32" s="33"/>
      <c r="S32" s="33"/>
      <c r="T32" s="33"/>
      <c r="U32" s="33" t="s">
        <v>201</v>
      </c>
      <c r="V32" s="33"/>
      <c r="W32" s="33" t="s">
        <v>201</v>
      </c>
      <c r="X32" s="33"/>
      <c r="Y32" s="33"/>
      <c r="Z32" s="33"/>
      <c r="AA32" s="33"/>
      <c r="AB32" s="33"/>
      <c r="AC32" s="33"/>
      <c r="AD32" s="33"/>
      <c r="AE32" s="33"/>
    </row>
    <row r="33" spans="1:31" ht="91">
      <c r="A33" s="31" t="s">
        <v>325</v>
      </c>
      <c r="B33" s="31" t="s">
        <v>55</v>
      </c>
      <c r="C33" s="31">
        <v>89037</v>
      </c>
      <c r="D33" s="31" t="s">
        <v>241</v>
      </c>
      <c r="E33" s="32" t="s">
        <v>469</v>
      </c>
      <c r="F33" s="32" t="s">
        <v>460</v>
      </c>
      <c r="G33" s="32"/>
      <c r="H33" s="33"/>
      <c r="I33" s="31" t="s">
        <v>604</v>
      </c>
      <c r="J33" s="31" t="s">
        <v>627</v>
      </c>
      <c r="K33" s="33" t="s">
        <v>205</v>
      </c>
      <c r="L33" s="33" t="s">
        <v>205</v>
      </c>
      <c r="M33" s="31"/>
      <c r="N33" s="31" t="s">
        <v>535</v>
      </c>
      <c r="O33" s="33" t="s">
        <v>561</v>
      </c>
      <c r="P33" s="33" t="s">
        <v>204</v>
      </c>
      <c r="Q33" s="33"/>
      <c r="R33" s="33"/>
      <c r="S33" s="33"/>
      <c r="T33" s="33"/>
      <c r="U33" s="33" t="s">
        <v>201</v>
      </c>
      <c r="V33" s="33"/>
      <c r="W33" s="33"/>
      <c r="X33" s="33"/>
      <c r="Y33" s="33"/>
      <c r="Z33" s="33"/>
      <c r="AA33" s="33"/>
      <c r="AB33" s="33"/>
      <c r="AC33" s="33"/>
      <c r="AD33" s="33"/>
      <c r="AE33" s="33"/>
    </row>
    <row r="34" spans="1:31" ht="65">
      <c r="A34" s="31" t="s">
        <v>326</v>
      </c>
      <c r="B34" s="31" t="s">
        <v>57</v>
      </c>
      <c r="C34" s="31">
        <v>89039</v>
      </c>
      <c r="D34" s="31" t="s">
        <v>242</v>
      </c>
      <c r="E34" s="32" t="s">
        <v>400</v>
      </c>
      <c r="F34" s="32" t="s">
        <v>458</v>
      </c>
      <c r="G34" s="33"/>
      <c r="H34" s="33"/>
      <c r="I34" s="32" t="s">
        <v>576</v>
      </c>
      <c r="J34" s="31" t="s">
        <v>627</v>
      </c>
      <c r="K34" s="33" t="s">
        <v>205</v>
      </c>
      <c r="L34" s="33" t="s">
        <v>205</v>
      </c>
      <c r="M34" s="32"/>
      <c r="N34" s="32"/>
      <c r="O34" s="32"/>
      <c r="P34" s="33" t="s">
        <v>206</v>
      </c>
      <c r="Q34" s="33"/>
      <c r="R34" s="33"/>
      <c r="S34" s="33"/>
      <c r="T34" s="33"/>
      <c r="U34" s="33"/>
      <c r="V34" s="33"/>
      <c r="W34" s="33"/>
      <c r="X34" s="33"/>
      <c r="Y34" s="33"/>
      <c r="Z34" s="33"/>
      <c r="AA34" s="33" t="s">
        <v>204</v>
      </c>
      <c r="AB34" s="33" t="s">
        <v>205</v>
      </c>
      <c r="AC34" s="33" t="s">
        <v>205</v>
      </c>
      <c r="AD34" s="33" t="s">
        <v>205</v>
      </c>
      <c r="AE34" s="33"/>
    </row>
    <row r="35" spans="1:31" ht="78">
      <c r="A35" s="31" t="s">
        <v>327</v>
      </c>
      <c r="B35" s="31" t="s">
        <v>58</v>
      </c>
      <c r="C35" s="31">
        <v>89040</v>
      </c>
      <c r="D35" s="31" t="s">
        <v>243</v>
      </c>
      <c r="E35" s="32" t="s">
        <v>400</v>
      </c>
      <c r="F35" s="32" t="s">
        <v>458</v>
      </c>
      <c r="G35" s="33"/>
      <c r="H35" s="32"/>
      <c r="I35" s="32" t="s">
        <v>576</v>
      </c>
      <c r="J35" s="31" t="s">
        <v>626</v>
      </c>
      <c r="K35" s="33" t="s">
        <v>205</v>
      </c>
      <c r="L35" s="33" t="s">
        <v>205</v>
      </c>
      <c r="M35" s="32"/>
      <c r="N35" s="32"/>
      <c r="O35" s="32"/>
      <c r="P35" s="33" t="s">
        <v>206</v>
      </c>
      <c r="Q35" s="33"/>
      <c r="R35" s="33"/>
      <c r="S35" s="33"/>
      <c r="T35" s="33"/>
      <c r="U35" s="33"/>
      <c r="V35" s="33"/>
      <c r="W35" s="33"/>
      <c r="X35" s="33"/>
      <c r="Y35" s="33"/>
      <c r="Z35" s="33"/>
      <c r="AA35" s="33"/>
      <c r="AB35" s="33"/>
      <c r="AC35" s="33"/>
      <c r="AD35" s="33"/>
      <c r="AE35" s="33"/>
    </row>
    <row r="36" spans="1:31" ht="65">
      <c r="A36" s="31" t="s">
        <v>328</v>
      </c>
      <c r="B36" s="31" t="s">
        <v>60</v>
      </c>
      <c r="C36" s="31">
        <v>89042</v>
      </c>
      <c r="D36" s="31" t="s">
        <v>244</v>
      </c>
      <c r="E36" s="32" t="s">
        <v>401</v>
      </c>
      <c r="F36" s="32" t="s">
        <v>460</v>
      </c>
      <c r="G36" s="33" t="s">
        <v>455</v>
      </c>
      <c r="H36" s="33"/>
      <c r="I36" s="32" t="s">
        <v>602</v>
      </c>
      <c r="J36" s="31" t="s">
        <v>626</v>
      </c>
      <c r="K36" s="33" t="s">
        <v>205</v>
      </c>
      <c r="L36" s="33" t="s">
        <v>205</v>
      </c>
      <c r="M36" s="32"/>
      <c r="N36" s="33" t="s">
        <v>559</v>
      </c>
      <c r="O36" s="33" t="s">
        <v>560</v>
      </c>
      <c r="P36" s="33" t="s">
        <v>204</v>
      </c>
      <c r="Q36" s="33"/>
      <c r="R36" s="33"/>
      <c r="S36" s="33"/>
      <c r="T36" s="33"/>
      <c r="U36" s="33" t="s">
        <v>201</v>
      </c>
      <c r="V36" s="33"/>
      <c r="W36" s="33"/>
      <c r="X36" s="33" t="s">
        <v>201</v>
      </c>
      <c r="Y36" s="33"/>
      <c r="Z36" s="33"/>
      <c r="AA36" s="33"/>
      <c r="AB36" s="33"/>
      <c r="AC36" s="33"/>
      <c r="AD36" s="33"/>
      <c r="AE36" s="33"/>
    </row>
    <row r="37" spans="1:31" ht="143">
      <c r="A37" s="31" t="s">
        <v>329</v>
      </c>
      <c r="B37" s="31" t="s">
        <v>62</v>
      </c>
      <c r="C37" s="31">
        <v>89043</v>
      </c>
      <c r="D37" s="31" t="s">
        <v>245</v>
      </c>
      <c r="E37" s="32" t="s">
        <v>402</v>
      </c>
      <c r="F37" s="32" t="s">
        <v>460</v>
      </c>
      <c r="G37" s="33"/>
      <c r="H37" s="33"/>
      <c r="I37" s="32" t="s">
        <v>603</v>
      </c>
      <c r="J37" s="31" t="s">
        <v>627</v>
      </c>
      <c r="K37" s="33" t="s">
        <v>205</v>
      </c>
      <c r="L37" s="33" t="s">
        <v>205</v>
      </c>
      <c r="M37" s="32"/>
      <c r="N37" s="32"/>
      <c r="O37" s="32"/>
      <c r="P37" s="33" t="s">
        <v>204</v>
      </c>
      <c r="Q37" s="33" t="s">
        <v>201</v>
      </c>
      <c r="R37" s="33"/>
      <c r="S37" s="33"/>
      <c r="T37" s="33"/>
      <c r="U37" s="33"/>
      <c r="V37" s="33"/>
      <c r="W37" s="33"/>
      <c r="X37" s="33"/>
      <c r="Y37" s="33"/>
      <c r="Z37" s="33"/>
      <c r="AA37" s="33"/>
      <c r="AB37" s="33"/>
      <c r="AC37" s="33"/>
      <c r="AD37" s="33"/>
      <c r="AE37" s="33"/>
    </row>
    <row r="38" spans="1:31" ht="78">
      <c r="A38" s="31" t="s">
        <v>330</v>
      </c>
      <c r="B38" s="31" t="s">
        <v>65</v>
      </c>
      <c r="C38" s="31">
        <v>89044</v>
      </c>
      <c r="D38" s="31" t="s">
        <v>246</v>
      </c>
      <c r="E38" s="32" t="s">
        <v>403</v>
      </c>
      <c r="F38" s="32" t="s">
        <v>460</v>
      </c>
      <c r="G38" s="32" t="s">
        <v>455</v>
      </c>
      <c r="H38" s="33"/>
      <c r="I38" s="32" t="s">
        <v>602</v>
      </c>
      <c r="J38" s="31" t="s">
        <v>626</v>
      </c>
      <c r="K38" s="33" t="s">
        <v>205</v>
      </c>
      <c r="L38" s="33" t="s">
        <v>205</v>
      </c>
      <c r="M38" s="32"/>
      <c r="N38" s="33" t="s">
        <v>559</v>
      </c>
      <c r="O38" s="33" t="s">
        <v>560</v>
      </c>
      <c r="P38" s="33" t="s">
        <v>204</v>
      </c>
      <c r="Q38" s="33"/>
      <c r="R38" s="33"/>
      <c r="S38" s="33"/>
      <c r="T38" s="33"/>
      <c r="U38" s="33"/>
      <c r="V38" s="33"/>
      <c r="W38" s="33"/>
      <c r="X38" s="33" t="s">
        <v>201</v>
      </c>
      <c r="Y38" s="33"/>
      <c r="Z38" s="33"/>
      <c r="AA38" s="33"/>
      <c r="AB38" s="33"/>
      <c r="AC38" s="33"/>
      <c r="AD38" s="33"/>
      <c r="AE38" s="33"/>
    </row>
    <row r="39" spans="1:31" ht="52">
      <c r="A39" s="31" t="s">
        <v>331</v>
      </c>
      <c r="B39" s="31" t="s">
        <v>67</v>
      </c>
      <c r="C39" s="31">
        <v>89045</v>
      </c>
      <c r="D39" s="31" t="s">
        <v>247</v>
      </c>
      <c r="E39" s="32" t="s">
        <v>404</v>
      </c>
      <c r="F39" s="33" t="s">
        <v>458</v>
      </c>
      <c r="G39" s="33"/>
      <c r="H39" s="33"/>
      <c r="I39" s="32" t="s">
        <v>576</v>
      </c>
      <c r="J39" s="31" t="s">
        <v>626</v>
      </c>
      <c r="K39" s="33" t="s">
        <v>205</v>
      </c>
      <c r="L39" s="33" t="s">
        <v>205</v>
      </c>
      <c r="M39" s="32"/>
      <c r="N39" s="32"/>
      <c r="O39" s="32"/>
      <c r="P39" s="33" t="s">
        <v>206</v>
      </c>
      <c r="Q39" s="33"/>
      <c r="R39" s="33"/>
      <c r="S39" s="33"/>
      <c r="T39" s="33"/>
      <c r="U39" s="33"/>
      <c r="V39" s="33"/>
      <c r="W39" s="33"/>
      <c r="X39" s="33"/>
      <c r="Y39" s="33"/>
      <c r="Z39" s="33"/>
      <c r="AA39" s="33"/>
      <c r="AB39" s="33"/>
      <c r="AC39" s="33"/>
      <c r="AD39" s="33"/>
      <c r="AE39" s="33"/>
    </row>
    <row r="40" spans="1:31" ht="39">
      <c r="A40" s="31" t="s">
        <v>332</v>
      </c>
      <c r="B40" s="31" t="s">
        <v>102</v>
      </c>
      <c r="C40" s="31">
        <v>89046</v>
      </c>
      <c r="D40" s="31" t="s">
        <v>248</v>
      </c>
      <c r="E40" s="32" t="s">
        <v>461</v>
      </c>
      <c r="F40" s="33" t="s">
        <v>458</v>
      </c>
      <c r="G40" s="33"/>
      <c r="H40" s="33"/>
      <c r="I40" s="32" t="s">
        <v>576</v>
      </c>
      <c r="J40" s="31" t="s">
        <v>626</v>
      </c>
      <c r="K40" s="33" t="s">
        <v>205</v>
      </c>
      <c r="L40" s="33" t="s">
        <v>205</v>
      </c>
      <c r="M40" s="32"/>
      <c r="N40" s="32"/>
      <c r="O40" s="32"/>
      <c r="P40" s="33" t="s">
        <v>203</v>
      </c>
      <c r="Q40" s="33"/>
      <c r="R40" s="33"/>
      <c r="S40" s="33"/>
      <c r="T40" s="33"/>
      <c r="U40" s="33"/>
      <c r="V40" s="33"/>
      <c r="W40" s="33"/>
      <c r="X40" s="33"/>
      <c r="Y40" s="33"/>
      <c r="Z40" s="33"/>
      <c r="AA40" s="33"/>
      <c r="AB40" s="33"/>
      <c r="AC40" s="33"/>
      <c r="AD40" s="33"/>
      <c r="AE40" s="33"/>
    </row>
    <row r="41" spans="1:31" ht="65">
      <c r="A41" s="31" t="s">
        <v>333</v>
      </c>
      <c r="B41" s="31" t="s">
        <v>103</v>
      </c>
      <c r="C41" s="31">
        <v>89047</v>
      </c>
      <c r="D41" s="31" t="s">
        <v>249</v>
      </c>
      <c r="E41" s="32" t="s">
        <v>405</v>
      </c>
      <c r="F41" s="32" t="s">
        <v>458</v>
      </c>
      <c r="G41" s="33"/>
      <c r="H41" s="33"/>
      <c r="I41" s="32" t="s">
        <v>601</v>
      </c>
      <c r="J41" s="31" t="s">
        <v>626</v>
      </c>
      <c r="K41" s="33" t="s">
        <v>205</v>
      </c>
      <c r="L41" s="33" t="s">
        <v>205</v>
      </c>
      <c r="M41" s="32"/>
      <c r="N41" s="32"/>
      <c r="O41" s="32"/>
      <c r="P41" s="33" t="s">
        <v>206</v>
      </c>
      <c r="Q41" s="33"/>
      <c r="R41" s="33"/>
      <c r="S41" s="33"/>
      <c r="T41" s="33"/>
      <c r="U41" s="33"/>
      <c r="V41" s="33"/>
      <c r="W41" s="33"/>
      <c r="X41" s="33"/>
      <c r="Y41" s="33"/>
      <c r="Z41" s="33"/>
      <c r="AA41" s="33"/>
      <c r="AB41" s="33"/>
      <c r="AC41" s="33"/>
      <c r="AD41" s="33"/>
      <c r="AE41" s="33"/>
    </row>
    <row r="42" spans="1:31" ht="169">
      <c r="A42" s="31" t="s">
        <v>334</v>
      </c>
      <c r="B42" s="31" t="s">
        <v>104</v>
      </c>
      <c r="C42" s="31">
        <v>89048</v>
      </c>
      <c r="D42" s="31" t="s">
        <v>250</v>
      </c>
      <c r="E42" s="32" t="s">
        <v>406</v>
      </c>
      <c r="F42" s="32" t="s">
        <v>460</v>
      </c>
      <c r="G42" s="32" t="s">
        <v>455</v>
      </c>
      <c r="H42" s="33"/>
      <c r="I42" s="31" t="s">
        <v>600</v>
      </c>
      <c r="J42" s="31" t="s">
        <v>626</v>
      </c>
      <c r="K42" s="33" t="s">
        <v>205</v>
      </c>
      <c r="L42" s="33" t="s">
        <v>205</v>
      </c>
      <c r="M42" s="31"/>
      <c r="N42" s="33" t="s">
        <v>559</v>
      </c>
      <c r="O42" s="33" t="s">
        <v>560</v>
      </c>
      <c r="P42" s="33" t="s">
        <v>204</v>
      </c>
      <c r="Q42" s="33"/>
      <c r="R42" s="33"/>
      <c r="S42" s="33"/>
      <c r="T42" s="33"/>
      <c r="U42" s="33"/>
      <c r="V42" s="33"/>
      <c r="W42" s="33"/>
      <c r="X42" s="33" t="s">
        <v>201</v>
      </c>
      <c r="Y42" s="33"/>
      <c r="Z42" s="33"/>
      <c r="AA42" s="33"/>
      <c r="AB42" s="33"/>
      <c r="AC42" s="33"/>
      <c r="AD42" s="33"/>
      <c r="AE42" s="33"/>
    </row>
    <row r="43" spans="1:31" ht="39">
      <c r="A43" s="31" t="s">
        <v>335</v>
      </c>
      <c r="B43" s="31" t="s">
        <v>105</v>
      </c>
      <c r="C43" s="31">
        <v>89052</v>
      </c>
      <c r="D43" s="31" t="s">
        <v>251</v>
      </c>
      <c r="E43" s="32" t="s">
        <v>407</v>
      </c>
      <c r="F43" s="33" t="s">
        <v>459</v>
      </c>
      <c r="G43" s="33"/>
      <c r="H43" s="33"/>
      <c r="I43" s="33"/>
      <c r="J43" s="31" t="s">
        <v>626</v>
      </c>
      <c r="K43" s="33" t="s">
        <v>205</v>
      </c>
      <c r="L43" s="33" t="s">
        <v>205</v>
      </c>
      <c r="M43" s="33"/>
      <c r="N43" s="33"/>
      <c r="O43" s="33"/>
      <c r="P43" s="33" t="s">
        <v>203</v>
      </c>
      <c r="Q43" s="33"/>
      <c r="R43" s="33"/>
      <c r="S43" s="33"/>
      <c r="T43" s="33"/>
      <c r="U43" s="33"/>
      <c r="V43" s="33"/>
      <c r="W43" s="33"/>
      <c r="X43" s="33"/>
      <c r="Y43" s="33"/>
      <c r="Z43" s="33"/>
      <c r="AA43" s="33" t="s">
        <v>204</v>
      </c>
      <c r="AB43" s="33" t="s">
        <v>201</v>
      </c>
      <c r="AC43" s="33" t="s">
        <v>201</v>
      </c>
      <c r="AD43" s="33"/>
      <c r="AE43" s="33"/>
    </row>
    <row r="44" spans="1:31" ht="39">
      <c r="A44" s="31" t="s">
        <v>336</v>
      </c>
      <c r="B44" s="31" t="s">
        <v>106</v>
      </c>
      <c r="C44" s="31">
        <v>89053</v>
      </c>
      <c r="D44" s="31" t="s">
        <v>252</v>
      </c>
      <c r="E44" s="32" t="s">
        <v>408</v>
      </c>
      <c r="F44" s="33" t="s">
        <v>459</v>
      </c>
      <c r="G44" s="33"/>
      <c r="H44" s="33"/>
      <c r="I44" s="33"/>
      <c r="J44" s="31" t="s">
        <v>626</v>
      </c>
      <c r="K44" s="33" t="s">
        <v>205</v>
      </c>
      <c r="L44" s="33" t="s">
        <v>205</v>
      </c>
      <c r="M44" s="33"/>
      <c r="N44" s="33"/>
      <c r="O44" s="33"/>
      <c r="P44" s="33" t="s">
        <v>203</v>
      </c>
      <c r="Q44" s="33"/>
      <c r="R44" s="33"/>
      <c r="S44" s="33"/>
      <c r="T44" s="33"/>
      <c r="U44" s="33"/>
      <c r="V44" s="33"/>
      <c r="W44" s="33"/>
      <c r="X44" s="33"/>
      <c r="Y44" s="33"/>
      <c r="Z44" s="33"/>
      <c r="AA44" s="33"/>
      <c r="AB44" s="33"/>
      <c r="AC44" s="33"/>
      <c r="AD44" s="33"/>
      <c r="AE44" s="33"/>
    </row>
    <row r="45" spans="1:31" ht="39">
      <c r="A45" s="31" t="s">
        <v>337</v>
      </c>
      <c r="B45" s="31" t="s">
        <v>107</v>
      </c>
      <c r="C45" s="31">
        <v>89054</v>
      </c>
      <c r="D45" s="31" t="s">
        <v>253</v>
      </c>
      <c r="E45" s="32" t="s">
        <v>409</v>
      </c>
      <c r="F45" s="33" t="s">
        <v>459</v>
      </c>
      <c r="G45" s="33"/>
      <c r="H45" s="33"/>
      <c r="I45" s="33"/>
      <c r="J45" s="31" t="s">
        <v>626</v>
      </c>
      <c r="K45" s="33" t="s">
        <v>205</v>
      </c>
      <c r="L45" s="33" t="s">
        <v>205</v>
      </c>
      <c r="M45" s="33"/>
      <c r="N45" s="33"/>
      <c r="O45" s="33"/>
      <c r="P45" s="33" t="s">
        <v>203</v>
      </c>
      <c r="Q45" s="33"/>
      <c r="R45" s="33"/>
      <c r="S45" s="33"/>
      <c r="T45" s="33"/>
      <c r="U45" s="33"/>
      <c r="V45" s="33"/>
      <c r="W45" s="33"/>
      <c r="X45" s="33"/>
      <c r="Y45" s="33"/>
      <c r="Z45" s="33"/>
      <c r="AA45" s="33"/>
      <c r="AB45" s="33"/>
      <c r="AC45" s="33"/>
      <c r="AD45" s="33"/>
      <c r="AE45" s="33"/>
    </row>
    <row r="46" spans="1:31" ht="208">
      <c r="A46" s="31" t="s">
        <v>338</v>
      </c>
      <c r="B46" s="31" t="s">
        <v>108</v>
      </c>
      <c r="C46" s="31">
        <v>89055</v>
      </c>
      <c r="D46" s="31" t="s">
        <v>254</v>
      </c>
      <c r="E46" s="32" t="s">
        <v>410</v>
      </c>
      <c r="F46" s="32" t="s">
        <v>458</v>
      </c>
      <c r="G46" s="33"/>
      <c r="H46" s="33"/>
      <c r="I46" s="32" t="s">
        <v>599</v>
      </c>
      <c r="J46" s="31" t="s">
        <v>626</v>
      </c>
      <c r="K46" s="33" t="s">
        <v>205</v>
      </c>
      <c r="L46" s="33" t="s">
        <v>205</v>
      </c>
      <c r="M46" s="32"/>
      <c r="N46" s="32"/>
      <c r="O46" s="32"/>
      <c r="P46" s="33" t="s">
        <v>203</v>
      </c>
      <c r="Q46" s="33"/>
      <c r="R46" s="33"/>
      <c r="S46" s="33"/>
      <c r="T46" s="33"/>
      <c r="U46" s="33"/>
      <c r="V46" s="33"/>
      <c r="W46" s="33"/>
      <c r="X46" s="33"/>
      <c r="Y46" s="33"/>
      <c r="Z46" s="33"/>
      <c r="AA46" s="33"/>
      <c r="AB46" s="33"/>
      <c r="AC46" s="33"/>
      <c r="AD46" s="33"/>
      <c r="AE46" s="33"/>
    </row>
    <row r="47" spans="1:31" ht="130">
      <c r="A47" s="31" t="s">
        <v>339</v>
      </c>
      <c r="B47" s="31" t="s">
        <v>109</v>
      </c>
      <c r="C47" s="31">
        <v>89056</v>
      </c>
      <c r="D47" s="31" t="s">
        <v>255</v>
      </c>
      <c r="E47" s="32" t="s">
        <v>411</v>
      </c>
      <c r="F47" s="32" t="s">
        <v>458</v>
      </c>
      <c r="G47" s="33"/>
      <c r="H47" s="33"/>
      <c r="I47" s="32" t="s">
        <v>598</v>
      </c>
      <c r="J47" s="31" t="s">
        <v>627</v>
      </c>
      <c r="K47" s="33" t="s">
        <v>205</v>
      </c>
      <c r="L47" s="33" t="s">
        <v>205</v>
      </c>
      <c r="M47" s="32"/>
      <c r="N47" s="32"/>
      <c r="O47" s="32"/>
      <c r="P47" s="33" t="s">
        <v>203</v>
      </c>
      <c r="Q47" s="33"/>
      <c r="R47" s="33"/>
      <c r="S47" s="33"/>
      <c r="T47" s="33"/>
      <c r="U47" s="33"/>
      <c r="V47" s="33"/>
      <c r="W47" s="33"/>
      <c r="X47" s="33"/>
      <c r="Y47" s="33"/>
      <c r="Z47" s="33"/>
      <c r="AA47" s="33"/>
      <c r="AB47" s="33"/>
      <c r="AC47" s="33"/>
      <c r="AD47" s="33"/>
      <c r="AE47" s="33"/>
    </row>
    <row r="48" spans="1:31" ht="65">
      <c r="A48" s="31" t="s">
        <v>340</v>
      </c>
      <c r="B48" s="31" t="s">
        <v>110</v>
      </c>
      <c r="C48" s="31">
        <v>89057</v>
      </c>
      <c r="D48" s="31" t="s">
        <v>256</v>
      </c>
      <c r="E48" s="32" t="s">
        <v>412</v>
      </c>
      <c r="F48" s="33" t="s">
        <v>459</v>
      </c>
      <c r="G48" s="33"/>
      <c r="H48" s="33"/>
      <c r="I48" s="33"/>
      <c r="J48" s="31" t="s">
        <v>626</v>
      </c>
      <c r="K48" s="33" t="s">
        <v>205</v>
      </c>
      <c r="L48" s="33" t="s">
        <v>205</v>
      </c>
      <c r="M48" s="33"/>
      <c r="N48" s="33"/>
      <c r="O48" s="33"/>
      <c r="P48" s="33" t="s">
        <v>206</v>
      </c>
      <c r="Q48" s="33"/>
      <c r="R48" s="33"/>
      <c r="S48" s="33"/>
      <c r="T48" s="33"/>
      <c r="U48" s="33"/>
      <c r="V48" s="33"/>
      <c r="W48" s="33"/>
      <c r="X48" s="33"/>
      <c r="Y48" s="33"/>
      <c r="Z48" s="33"/>
      <c r="AA48" s="33"/>
      <c r="AB48" s="33"/>
      <c r="AC48" s="33"/>
      <c r="AD48" s="33"/>
      <c r="AE48" s="33"/>
    </row>
    <row r="49" spans="1:31" ht="117">
      <c r="A49" s="31" t="s">
        <v>341</v>
      </c>
      <c r="B49" s="31" t="s">
        <v>111</v>
      </c>
      <c r="C49" s="31">
        <v>89058</v>
      </c>
      <c r="D49" s="31" t="s">
        <v>257</v>
      </c>
      <c r="E49" s="32" t="s">
        <v>413</v>
      </c>
      <c r="F49" s="32" t="s">
        <v>460</v>
      </c>
      <c r="G49" s="32" t="s">
        <v>454</v>
      </c>
      <c r="H49" s="33"/>
      <c r="I49" s="31" t="s">
        <v>597</v>
      </c>
      <c r="J49" s="31" t="s">
        <v>626</v>
      </c>
      <c r="K49" s="33" t="s">
        <v>205</v>
      </c>
      <c r="L49" s="33" t="s">
        <v>205</v>
      </c>
      <c r="M49" s="31"/>
      <c r="N49" s="31" t="s">
        <v>530</v>
      </c>
      <c r="O49" s="31" t="s">
        <v>531</v>
      </c>
      <c r="P49" s="33" t="s">
        <v>204</v>
      </c>
      <c r="Q49" s="33"/>
      <c r="R49" s="33" t="s">
        <v>201</v>
      </c>
      <c r="S49" s="33" t="s">
        <v>201</v>
      </c>
      <c r="T49" s="33"/>
      <c r="U49" s="33"/>
      <c r="V49" s="33"/>
      <c r="W49" s="33"/>
      <c r="X49" s="33"/>
      <c r="Y49" s="33"/>
      <c r="Z49" s="33"/>
      <c r="AA49" s="33"/>
      <c r="AB49" s="33"/>
      <c r="AC49" s="33"/>
      <c r="AD49" s="33"/>
      <c r="AE49" s="33"/>
    </row>
    <row r="50" spans="1:31" ht="117">
      <c r="A50" s="31" t="s">
        <v>342</v>
      </c>
      <c r="B50" s="31" t="s">
        <v>112</v>
      </c>
      <c r="C50" s="31">
        <v>89059</v>
      </c>
      <c r="D50" s="31" t="s">
        <v>258</v>
      </c>
      <c r="E50" s="32" t="s">
        <v>414</v>
      </c>
      <c r="F50" s="32" t="s">
        <v>460</v>
      </c>
      <c r="G50" s="32" t="s">
        <v>452</v>
      </c>
      <c r="H50" s="33"/>
      <c r="I50" s="31" t="s">
        <v>575</v>
      </c>
      <c r="J50" s="31" t="s">
        <v>626</v>
      </c>
      <c r="K50" s="33" t="s">
        <v>205</v>
      </c>
      <c r="L50" s="33" t="s">
        <v>205</v>
      </c>
      <c r="M50" s="31"/>
      <c r="N50" s="33" t="s">
        <v>532</v>
      </c>
      <c r="O50" s="33" t="s">
        <v>558</v>
      </c>
      <c r="P50" s="33" t="s">
        <v>204</v>
      </c>
      <c r="Q50" s="33"/>
      <c r="R50" s="33" t="s">
        <v>201</v>
      </c>
      <c r="S50" s="33" t="s">
        <v>201</v>
      </c>
      <c r="T50" s="33"/>
      <c r="U50" s="33"/>
      <c r="V50" s="33"/>
      <c r="W50" s="33"/>
      <c r="X50" s="33"/>
      <c r="Y50" s="33"/>
      <c r="Z50" s="33"/>
      <c r="AA50" s="33"/>
      <c r="AB50" s="33"/>
      <c r="AC50" s="33"/>
      <c r="AD50" s="33"/>
      <c r="AE50" s="33"/>
    </row>
    <row r="51" spans="1:31" ht="78">
      <c r="A51" s="31" t="s">
        <v>343</v>
      </c>
      <c r="B51" s="31" t="s">
        <v>113</v>
      </c>
      <c r="C51" s="31">
        <v>89060</v>
      </c>
      <c r="D51" s="31" t="s">
        <v>259</v>
      </c>
      <c r="E51" s="32" t="s">
        <v>415</v>
      </c>
      <c r="F51" s="32" t="s">
        <v>458</v>
      </c>
      <c r="G51" s="33"/>
      <c r="H51" s="33"/>
      <c r="I51" s="32" t="s">
        <v>596</v>
      </c>
      <c r="J51" s="31" t="s">
        <v>626</v>
      </c>
      <c r="K51" s="33" t="s">
        <v>205</v>
      </c>
      <c r="L51" s="33" t="s">
        <v>205</v>
      </c>
      <c r="M51" s="32"/>
      <c r="N51" s="32"/>
      <c r="O51" s="32"/>
      <c r="P51" s="33" t="s">
        <v>204</v>
      </c>
      <c r="Q51" s="33"/>
      <c r="R51" s="33"/>
      <c r="S51" s="33" t="s">
        <v>201</v>
      </c>
      <c r="T51" s="33"/>
      <c r="U51" s="33"/>
      <c r="V51" s="33"/>
      <c r="W51" s="33"/>
      <c r="X51" s="33"/>
      <c r="Y51" s="33"/>
      <c r="Z51" s="33"/>
      <c r="AA51" s="33"/>
      <c r="AB51" s="33"/>
      <c r="AC51" s="33"/>
      <c r="AD51" s="33"/>
      <c r="AE51" s="33"/>
    </row>
    <row r="52" spans="1:31" ht="156">
      <c r="A52" s="31" t="s">
        <v>344</v>
      </c>
      <c r="B52" s="31" t="s">
        <v>114</v>
      </c>
      <c r="C52" s="31">
        <v>89061</v>
      </c>
      <c r="D52" s="31" t="s">
        <v>260</v>
      </c>
      <c r="E52" s="32" t="s">
        <v>416</v>
      </c>
      <c r="F52" s="32" t="s">
        <v>460</v>
      </c>
      <c r="G52" s="33"/>
      <c r="H52" s="33"/>
      <c r="I52" s="31" t="s">
        <v>595</v>
      </c>
      <c r="J52" s="31" t="s">
        <v>626</v>
      </c>
      <c r="K52" s="33" t="s">
        <v>205</v>
      </c>
      <c r="L52" s="33" t="s">
        <v>205</v>
      </c>
      <c r="M52" s="31"/>
      <c r="N52" s="33" t="s">
        <v>5</v>
      </c>
      <c r="O52" s="33" t="s">
        <v>557</v>
      </c>
      <c r="P52" s="33" t="s">
        <v>204</v>
      </c>
      <c r="Q52" s="33"/>
      <c r="R52" s="33" t="s">
        <v>201</v>
      </c>
      <c r="S52" s="33" t="s">
        <v>201</v>
      </c>
      <c r="T52" s="33"/>
      <c r="U52" s="33"/>
      <c r="V52" s="33"/>
      <c r="W52" s="33"/>
      <c r="X52" s="33"/>
      <c r="Y52" s="33"/>
      <c r="Z52" s="33"/>
      <c r="AA52" s="33"/>
      <c r="AB52" s="33"/>
      <c r="AC52" s="33"/>
      <c r="AD52" s="33"/>
      <c r="AE52" s="33"/>
    </row>
    <row r="53" spans="1:31" ht="78">
      <c r="A53" s="31" t="s">
        <v>345</v>
      </c>
      <c r="B53" s="31" t="s">
        <v>115</v>
      </c>
      <c r="C53" s="31">
        <v>89062</v>
      </c>
      <c r="D53" s="31" t="s">
        <v>261</v>
      </c>
      <c r="E53" s="32" t="s">
        <v>417</v>
      </c>
      <c r="F53" s="32" t="s">
        <v>460</v>
      </c>
      <c r="G53" s="32" t="s">
        <v>462</v>
      </c>
      <c r="H53" s="33"/>
      <c r="I53" s="32" t="s">
        <v>594</v>
      </c>
      <c r="J53" s="31" t="s">
        <v>627</v>
      </c>
      <c r="K53" s="33" t="s">
        <v>205</v>
      </c>
      <c r="L53" s="33" t="s">
        <v>205</v>
      </c>
      <c r="M53" s="32"/>
      <c r="N53" s="33" t="s">
        <v>555</v>
      </c>
      <c r="O53" s="33" t="s">
        <v>556</v>
      </c>
      <c r="P53" s="33" t="s">
        <v>204</v>
      </c>
      <c r="Q53" s="33"/>
      <c r="R53" s="33" t="s">
        <v>201</v>
      </c>
      <c r="S53" s="33" t="s">
        <v>201</v>
      </c>
      <c r="T53" s="33"/>
      <c r="U53" s="33"/>
      <c r="V53" s="33"/>
      <c r="W53" s="33"/>
      <c r="X53" s="33"/>
      <c r="Y53" s="33"/>
      <c r="Z53" s="33"/>
      <c r="AA53" s="33"/>
      <c r="AB53" s="33"/>
      <c r="AC53" s="33"/>
      <c r="AD53" s="33"/>
      <c r="AE53" s="33"/>
    </row>
    <row r="54" spans="1:31" ht="117">
      <c r="A54" s="31" t="s">
        <v>346</v>
      </c>
      <c r="B54" s="31" t="s">
        <v>116</v>
      </c>
      <c r="C54" s="31">
        <v>89063</v>
      </c>
      <c r="D54" s="31" t="s">
        <v>262</v>
      </c>
      <c r="E54" s="32" t="s">
        <v>418</v>
      </c>
      <c r="F54" s="32" t="s">
        <v>460</v>
      </c>
      <c r="G54" s="32" t="s">
        <v>449</v>
      </c>
      <c r="H54" s="33"/>
      <c r="I54" s="31" t="s">
        <v>593</v>
      </c>
      <c r="J54" s="31" t="s">
        <v>626</v>
      </c>
      <c r="K54" s="33" t="s">
        <v>205</v>
      </c>
      <c r="L54" s="33" t="s">
        <v>205</v>
      </c>
      <c r="M54" s="31"/>
      <c r="N54" s="33" t="s">
        <v>532</v>
      </c>
      <c r="O54" s="36"/>
      <c r="P54" s="33" t="s">
        <v>204</v>
      </c>
      <c r="Q54" s="33"/>
      <c r="R54" s="33" t="s">
        <v>201</v>
      </c>
      <c r="S54" s="33" t="s">
        <v>201</v>
      </c>
      <c r="T54" s="33"/>
      <c r="U54" s="33"/>
      <c r="V54" s="33"/>
      <c r="W54" s="33"/>
      <c r="X54" s="33"/>
      <c r="Y54" s="33"/>
      <c r="Z54" s="33"/>
      <c r="AA54" s="33"/>
      <c r="AB54" s="33"/>
      <c r="AC54" s="33"/>
      <c r="AD54" s="33"/>
      <c r="AE54" s="33"/>
    </row>
    <row r="55" spans="1:31" ht="117">
      <c r="A55" s="31" t="s">
        <v>347</v>
      </c>
      <c r="B55" s="31" t="s">
        <v>117</v>
      </c>
      <c r="C55" s="31">
        <v>89064</v>
      </c>
      <c r="D55" s="31" t="s">
        <v>263</v>
      </c>
      <c r="E55" s="32" t="s">
        <v>419</v>
      </c>
      <c r="F55" s="32" t="s">
        <v>460</v>
      </c>
      <c r="G55" s="32" t="s">
        <v>449</v>
      </c>
      <c r="H55" s="33"/>
      <c r="I55" s="31" t="s">
        <v>593</v>
      </c>
      <c r="J55" s="31" t="s">
        <v>626</v>
      </c>
      <c r="K55" s="33" t="s">
        <v>205</v>
      </c>
      <c r="L55" s="33" t="s">
        <v>205</v>
      </c>
      <c r="M55" s="31"/>
      <c r="N55" s="33" t="s">
        <v>532</v>
      </c>
      <c r="O55" s="36"/>
      <c r="P55" s="33" t="s">
        <v>204</v>
      </c>
      <c r="Q55" s="33"/>
      <c r="R55" s="33" t="s">
        <v>201</v>
      </c>
      <c r="S55" s="33" t="s">
        <v>201</v>
      </c>
      <c r="T55" s="33"/>
      <c r="U55" s="33"/>
      <c r="V55" s="33"/>
      <c r="W55" s="33"/>
      <c r="X55" s="33"/>
      <c r="Y55" s="33"/>
      <c r="Z55" s="33"/>
      <c r="AA55" s="33"/>
      <c r="AB55" s="33"/>
      <c r="AC55" s="33"/>
      <c r="AD55" s="33"/>
      <c r="AE55" s="33"/>
    </row>
    <row r="56" spans="1:31" ht="117">
      <c r="A56" s="31" t="s">
        <v>348</v>
      </c>
      <c r="B56" s="31" t="s">
        <v>118</v>
      </c>
      <c r="C56" s="31">
        <v>89065</v>
      </c>
      <c r="D56" s="31" t="s">
        <v>264</v>
      </c>
      <c r="E56" s="32" t="s">
        <v>420</v>
      </c>
      <c r="F56" s="32" t="s">
        <v>460</v>
      </c>
      <c r="G56" s="32" t="s">
        <v>449</v>
      </c>
      <c r="H56" s="33"/>
      <c r="I56" s="31" t="s">
        <v>593</v>
      </c>
      <c r="J56" s="31" t="s">
        <v>626</v>
      </c>
      <c r="K56" s="33" t="s">
        <v>205</v>
      </c>
      <c r="L56" s="33" t="s">
        <v>205</v>
      </c>
      <c r="M56" s="31"/>
      <c r="N56" s="33" t="s">
        <v>532</v>
      </c>
      <c r="O56" s="36" t="s">
        <v>554</v>
      </c>
      <c r="P56" s="33" t="s">
        <v>204</v>
      </c>
      <c r="Q56" s="33"/>
      <c r="R56" s="33" t="s">
        <v>201</v>
      </c>
      <c r="S56" s="33" t="s">
        <v>201</v>
      </c>
      <c r="T56" s="33"/>
      <c r="U56" s="33"/>
      <c r="V56" s="33"/>
      <c r="W56" s="33"/>
      <c r="X56" s="33"/>
      <c r="Y56" s="33"/>
      <c r="Z56" s="33"/>
      <c r="AA56" s="33"/>
      <c r="AB56" s="33"/>
      <c r="AC56" s="33"/>
      <c r="AD56" s="33"/>
      <c r="AE56" s="33"/>
    </row>
    <row r="57" spans="1:31" ht="117">
      <c r="A57" s="31" t="s">
        <v>629</v>
      </c>
      <c r="B57" s="31" t="s">
        <v>119</v>
      </c>
      <c r="C57" s="31">
        <v>89066</v>
      </c>
      <c r="D57" s="31" t="s">
        <v>265</v>
      </c>
      <c r="E57" s="32" t="s">
        <v>421</v>
      </c>
      <c r="F57" s="32" t="s">
        <v>460</v>
      </c>
      <c r="G57" s="32" t="s">
        <v>449</v>
      </c>
      <c r="H57" s="33"/>
      <c r="I57" s="31" t="s">
        <v>593</v>
      </c>
      <c r="J57" s="31" t="s">
        <v>626</v>
      </c>
      <c r="K57" s="33" t="s">
        <v>205</v>
      </c>
      <c r="L57" s="33" t="s">
        <v>205</v>
      </c>
      <c r="M57" s="31"/>
      <c r="N57" s="33" t="s">
        <v>532</v>
      </c>
      <c r="O57" s="36" t="s">
        <v>553</v>
      </c>
      <c r="P57" s="33" t="s">
        <v>204</v>
      </c>
      <c r="Q57" s="33"/>
      <c r="R57" s="33" t="s">
        <v>201</v>
      </c>
      <c r="S57" s="33" t="s">
        <v>201</v>
      </c>
      <c r="T57" s="33"/>
      <c r="U57" s="33"/>
      <c r="V57" s="33"/>
      <c r="W57" s="33"/>
      <c r="X57" s="33"/>
      <c r="Y57" s="33"/>
      <c r="Z57" s="33"/>
      <c r="AA57" s="33"/>
      <c r="AB57" s="33"/>
      <c r="AC57" s="33"/>
      <c r="AD57" s="33"/>
      <c r="AE57" s="33"/>
    </row>
    <row r="58" spans="1:31" ht="117">
      <c r="A58" s="31" t="s">
        <v>349</v>
      </c>
      <c r="B58" s="31" t="s">
        <v>120</v>
      </c>
      <c r="C58" s="31">
        <v>89067</v>
      </c>
      <c r="D58" s="31" t="s">
        <v>266</v>
      </c>
      <c r="E58" s="32" t="s">
        <v>422</v>
      </c>
      <c r="F58" s="32" t="s">
        <v>460</v>
      </c>
      <c r="G58" s="32" t="s">
        <v>449</v>
      </c>
      <c r="H58" s="33"/>
      <c r="I58" s="31" t="s">
        <v>593</v>
      </c>
      <c r="J58" s="31" t="s">
        <v>626</v>
      </c>
      <c r="K58" s="33" t="s">
        <v>205</v>
      </c>
      <c r="L58" s="33" t="s">
        <v>205</v>
      </c>
      <c r="M58" s="31"/>
      <c r="N58" s="33" t="s">
        <v>532</v>
      </c>
      <c r="O58" s="36" t="s">
        <v>552</v>
      </c>
      <c r="P58" s="33" t="s">
        <v>204</v>
      </c>
      <c r="Q58" s="33"/>
      <c r="R58" s="33" t="s">
        <v>201</v>
      </c>
      <c r="S58" s="33" t="s">
        <v>201</v>
      </c>
      <c r="T58" s="33"/>
      <c r="U58" s="33"/>
      <c r="V58" s="33"/>
      <c r="W58" s="33"/>
      <c r="X58" s="33"/>
      <c r="Y58" s="33"/>
      <c r="Z58" s="33"/>
      <c r="AA58" s="33"/>
      <c r="AB58" s="33"/>
      <c r="AC58" s="33"/>
      <c r="AD58" s="33"/>
      <c r="AE58" s="33"/>
    </row>
    <row r="59" spans="1:31" ht="117">
      <c r="A59" s="31" t="s">
        <v>628</v>
      </c>
      <c r="B59" s="31" t="s">
        <v>121</v>
      </c>
      <c r="C59" s="31">
        <v>89068</v>
      </c>
      <c r="D59" s="31" t="s">
        <v>267</v>
      </c>
      <c r="E59" s="32" t="s">
        <v>423</v>
      </c>
      <c r="F59" s="32" t="s">
        <v>460</v>
      </c>
      <c r="G59" s="32" t="s">
        <v>449</v>
      </c>
      <c r="H59" s="33"/>
      <c r="I59" s="31" t="s">
        <v>593</v>
      </c>
      <c r="J59" s="31" t="s">
        <v>626</v>
      </c>
      <c r="K59" s="33" t="s">
        <v>205</v>
      </c>
      <c r="L59" s="33" t="s">
        <v>205</v>
      </c>
      <c r="M59" s="31"/>
      <c r="N59" s="33" t="s">
        <v>532</v>
      </c>
      <c r="O59" s="36" t="s">
        <v>551</v>
      </c>
      <c r="P59" s="33" t="s">
        <v>204</v>
      </c>
      <c r="Q59" s="33"/>
      <c r="R59" s="33" t="s">
        <v>201</v>
      </c>
      <c r="S59" s="33" t="s">
        <v>201</v>
      </c>
      <c r="T59" s="33"/>
      <c r="U59" s="33"/>
      <c r="V59" s="33"/>
      <c r="W59" s="33"/>
      <c r="X59" s="33"/>
      <c r="Y59" s="33"/>
      <c r="Z59" s="33"/>
      <c r="AA59" s="33"/>
      <c r="AB59" s="33"/>
      <c r="AC59" s="33"/>
      <c r="AD59" s="33"/>
      <c r="AE59" s="33"/>
    </row>
    <row r="60" spans="1:31" ht="117">
      <c r="A60" s="31" t="s">
        <v>350</v>
      </c>
      <c r="B60" s="31" t="s">
        <v>122</v>
      </c>
      <c r="C60" s="31">
        <v>89069</v>
      </c>
      <c r="D60" s="31" t="s">
        <v>268</v>
      </c>
      <c r="E60" s="32" t="s">
        <v>424</v>
      </c>
      <c r="F60" s="32" t="s">
        <v>460</v>
      </c>
      <c r="G60" s="32" t="s">
        <v>449</v>
      </c>
      <c r="H60" s="33"/>
      <c r="I60" s="31" t="s">
        <v>593</v>
      </c>
      <c r="J60" s="31" t="s">
        <v>626</v>
      </c>
      <c r="K60" s="33" t="s">
        <v>205</v>
      </c>
      <c r="L60" s="33" t="s">
        <v>205</v>
      </c>
      <c r="M60" s="31"/>
      <c r="N60" s="33" t="s">
        <v>532</v>
      </c>
      <c r="O60" s="36" t="s">
        <v>550</v>
      </c>
      <c r="P60" s="33" t="s">
        <v>204</v>
      </c>
      <c r="Q60" s="33"/>
      <c r="R60" s="33" t="s">
        <v>201</v>
      </c>
      <c r="S60" s="33" t="s">
        <v>201</v>
      </c>
      <c r="T60" s="33"/>
      <c r="U60" s="33"/>
      <c r="V60" s="33"/>
      <c r="W60" s="33"/>
      <c r="X60" s="33"/>
      <c r="Y60" s="33"/>
      <c r="Z60" s="33"/>
      <c r="AA60" s="33"/>
      <c r="AB60" s="33"/>
      <c r="AC60" s="33"/>
      <c r="AD60" s="33"/>
      <c r="AE60" s="33"/>
    </row>
    <row r="61" spans="1:31" ht="169">
      <c r="A61" s="31" t="s">
        <v>351</v>
      </c>
      <c r="B61" s="31" t="s">
        <v>123</v>
      </c>
      <c r="C61" s="31">
        <v>89070</v>
      </c>
      <c r="D61" s="31" t="s">
        <v>269</v>
      </c>
      <c r="E61" s="32" t="s">
        <v>425</v>
      </c>
      <c r="F61" s="32" t="s">
        <v>460</v>
      </c>
      <c r="G61" s="33"/>
      <c r="H61" s="33"/>
      <c r="I61" s="31" t="s">
        <v>592</v>
      </c>
      <c r="J61" s="31" t="s">
        <v>627</v>
      </c>
      <c r="K61" s="33" t="s">
        <v>205</v>
      </c>
      <c r="L61" s="33" t="s">
        <v>205</v>
      </c>
      <c r="M61" s="31"/>
      <c r="N61" s="36" t="s">
        <v>535</v>
      </c>
      <c r="O61" s="36" t="s">
        <v>549</v>
      </c>
      <c r="P61" s="33" t="s">
        <v>204</v>
      </c>
      <c r="Q61" s="33"/>
      <c r="R61" s="33" t="s">
        <v>201</v>
      </c>
      <c r="S61" s="33" t="s">
        <v>201</v>
      </c>
      <c r="T61" s="33"/>
      <c r="U61" s="33"/>
      <c r="V61" s="33"/>
      <c r="W61" s="33"/>
      <c r="X61" s="33"/>
      <c r="Y61" s="33"/>
      <c r="Z61" s="33"/>
      <c r="AA61" s="33"/>
      <c r="AB61" s="33"/>
      <c r="AC61" s="33"/>
      <c r="AD61" s="33"/>
      <c r="AE61" s="33"/>
    </row>
    <row r="62" spans="1:31" ht="130">
      <c r="A62" s="31" t="s">
        <v>352</v>
      </c>
      <c r="B62" s="31" t="s">
        <v>124</v>
      </c>
      <c r="C62" s="31">
        <v>89071</v>
      </c>
      <c r="D62" s="31" t="s">
        <v>270</v>
      </c>
      <c r="E62" s="32" t="s">
        <v>426</v>
      </c>
      <c r="F62" s="32" t="s">
        <v>460</v>
      </c>
      <c r="G62" s="32" t="s">
        <v>470</v>
      </c>
      <c r="H62" s="33"/>
      <c r="I62" s="31" t="s">
        <v>591</v>
      </c>
      <c r="J62" s="31" t="s">
        <v>626</v>
      </c>
      <c r="K62" s="33" t="s">
        <v>205</v>
      </c>
      <c r="L62" s="33" t="s">
        <v>205</v>
      </c>
      <c r="M62" s="31"/>
      <c r="N62" s="33" t="s">
        <v>547</v>
      </c>
      <c r="O62" s="33" t="s">
        <v>548</v>
      </c>
      <c r="P62" s="33" t="s">
        <v>204</v>
      </c>
      <c r="Q62" s="33"/>
      <c r="R62" s="33"/>
      <c r="S62" s="33" t="s">
        <v>201</v>
      </c>
      <c r="T62" s="33"/>
      <c r="U62" s="33"/>
      <c r="V62" s="33"/>
      <c r="W62" s="33"/>
      <c r="X62" s="33"/>
      <c r="Y62" s="33"/>
      <c r="Z62" s="33"/>
      <c r="AA62" s="33"/>
      <c r="AB62" s="33"/>
      <c r="AC62" s="33"/>
      <c r="AD62" s="33"/>
      <c r="AE62" s="33"/>
    </row>
    <row r="63" spans="1:31" ht="143">
      <c r="A63" s="31" t="s">
        <v>353</v>
      </c>
      <c r="B63" s="31" t="s">
        <v>125</v>
      </c>
      <c r="C63" s="31">
        <v>89072</v>
      </c>
      <c r="D63" s="31" t="s">
        <v>271</v>
      </c>
      <c r="E63" s="32" t="s">
        <v>427</v>
      </c>
      <c r="F63" s="32" t="s">
        <v>458</v>
      </c>
      <c r="G63" s="33"/>
      <c r="H63" s="33"/>
      <c r="I63" s="31" t="s">
        <v>590</v>
      </c>
      <c r="J63" s="31" t="s">
        <v>626</v>
      </c>
      <c r="K63" s="33" t="s">
        <v>205</v>
      </c>
      <c r="L63" s="33" t="s">
        <v>205</v>
      </c>
      <c r="M63" s="31"/>
      <c r="N63" s="31"/>
      <c r="O63" s="31"/>
      <c r="P63" s="33" t="s">
        <v>203</v>
      </c>
      <c r="Q63" s="33"/>
      <c r="R63" s="33"/>
      <c r="S63" s="33"/>
      <c r="T63" s="33"/>
      <c r="U63" s="33"/>
      <c r="V63" s="33"/>
      <c r="W63" s="33"/>
      <c r="X63" s="33"/>
      <c r="Y63" s="33"/>
      <c r="Z63" s="33"/>
      <c r="AA63" s="33"/>
      <c r="AB63" s="33"/>
      <c r="AC63" s="33"/>
      <c r="AD63" s="33"/>
      <c r="AE63" s="33"/>
    </row>
    <row r="64" spans="1:31" ht="52">
      <c r="A64" s="31" t="s">
        <v>354</v>
      </c>
      <c r="B64" s="31" t="s">
        <v>126</v>
      </c>
      <c r="C64" s="31">
        <v>89073</v>
      </c>
      <c r="D64" s="31" t="s">
        <v>272</v>
      </c>
      <c r="E64" s="32" t="s">
        <v>428</v>
      </c>
      <c r="F64" s="32" t="s">
        <v>458</v>
      </c>
      <c r="G64" s="33"/>
      <c r="H64" s="33"/>
      <c r="I64" s="31" t="s">
        <v>588</v>
      </c>
      <c r="J64" s="31" t="s">
        <v>626</v>
      </c>
      <c r="K64" s="33" t="s">
        <v>205</v>
      </c>
      <c r="L64" s="33" t="s">
        <v>205</v>
      </c>
      <c r="M64" s="31"/>
      <c r="N64" s="31"/>
      <c r="O64" s="31"/>
      <c r="P64" s="33" t="s">
        <v>203</v>
      </c>
      <c r="Q64" s="33"/>
      <c r="R64" s="33"/>
      <c r="S64" s="33"/>
      <c r="T64" s="33"/>
      <c r="U64" s="33"/>
      <c r="V64" s="33"/>
      <c r="W64" s="33"/>
      <c r="X64" s="33"/>
      <c r="Y64" s="33"/>
      <c r="Z64" s="33"/>
      <c r="AA64" s="33"/>
      <c r="AB64" s="33"/>
      <c r="AC64" s="33"/>
      <c r="AD64" s="33"/>
      <c r="AE64" s="33"/>
    </row>
    <row r="65" spans="1:31" ht="52">
      <c r="A65" s="31" t="s">
        <v>355</v>
      </c>
      <c r="B65" s="31" t="s">
        <v>127</v>
      </c>
      <c r="C65" s="31">
        <v>89074</v>
      </c>
      <c r="D65" s="31" t="s">
        <v>273</v>
      </c>
      <c r="E65" s="32" t="s">
        <v>463</v>
      </c>
      <c r="F65" s="32" t="s">
        <v>458</v>
      </c>
      <c r="G65" s="33"/>
      <c r="H65" s="33"/>
      <c r="I65" s="31" t="s">
        <v>589</v>
      </c>
      <c r="J65" s="31" t="s">
        <v>626</v>
      </c>
      <c r="K65" s="33" t="s">
        <v>205</v>
      </c>
      <c r="L65" s="33" t="s">
        <v>205</v>
      </c>
      <c r="M65" s="31"/>
      <c r="N65" s="31"/>
      <c r="O65" s="31"/>
      <c r="P65" s="33" t="s">
        <v>203</v>
      </c>
      <c r="Q65" s="33"/>
      <c r="R65" s="33"/>
      <c r="S65" s="33"/>
      <c r="T65" s="33"/>
      <c r="U65" s="33"/>
      <c r="V65" s="33"/>
      <c r="W65" s="33"/>
      <c r="X65" s="33"/>
      <c r="Y65" s="33"/>
      <c r="Z65" s="33"/>
      <c r="AA65" s="33"/>
      <c r="AB65" s="33"/>
      <c r="AC65" s="33"/>
      <c r="AD65" s="33"/>
      <c r="AE65" s="33"/>
    </row>
    <row r="66" spans="1:31" ht="39">
      <c r="A66" s="31" t="s">
        <v>356</v>
      </c>
      <c r="B66" s="31" t="s">
        <v>128</v>
      </c>
      <c r="C66" s="31">
        <v>89075</v>
      </c>
      <c r="D66" s="31" t="s">
        <v>274</v>
      </c>
      <c r="E66" s="32" t="s">
        <v>429</v>
      </c>
      <c r="F66" s="33" t="s">
        <v>459</v>
      </c>
      <c r="G66" s="33"/>
      <c r="H66" s="33"/>
      <c r="I66" s="31"/>
      <c r="J66" s="31" t="s">
        <v>626</v>
      </c>
      <c r="K66" s="33" t="s">
        <v>205</v>
      </c>
      <c r="L66" s="33" t="s">
        <v>205</v>
      </c>
      <c r="M66" s="31"/>
      <c r="N66" s="31"/>
      <c r="O66" s="31"/>
      <c r="P66" s="33" t="s">
        <v>203</v>
      </c>
      <c r="Q66" s="33"/>
      <c r="R66" s="33"/>
      <c r="S66" s="33"/>
      <c r="T66" s="33"/>
      <c r="U66" s="33"/>
      <c r="V66" s="33"/>
      <c r="W66" s="33"/>
      <c r="X66" s="33"/>
      <c r="Y66" s="33"/>
      <c r="Z66" s="33"/>
      <c r="AA66" s="33"/>
      <c r="AB66" s="33"/>
      <c r="AC66" s="33"/>
      <c r="AD66" s="33"/>
      <c r="AE66" s="33"/>
    </row>
    <row r="67" spans="1:31" ht="52">
      <c r="A67" s="31" t="s">
        <v>357</v>
      </c>
      <c r="B67" s="31" t="s">
        <v>358</v>
      </c>
      <c r="C67" s="31">
        <v>89076</v>
      </c>
      <c r="D67" s="31" t="s">
        <v>275</v>
      </c>
      <c r="E67" s="32" t="s">
        <v>428</v>
      </c>
      <c r="F67" s="32" t="s">
        <v>458</v>
      </c>
      <c r="G67" s="33"/>
      <c r="H67" s="33"/>
      <c r="I67" s="31" t="s">
        <v>588</v>
      </c>
      <c r="J67" s="31" t="s">
        <v>626</v>
      </c>
      <c r="K67" s="33" t="s">
        <v>205</v>
      </c>
      <c r="L67" s="33" t="s">
        <v>205</v>
      </c>
      <c r="M67" s="31"/>
      <c r="N67" s="31"/>
      <c r="O67" s="31"/>
      <c r="P67" s="33" t="s">
        <v>203</v>
      </c>
      <c r="Q67" s="33"/>
      <c r="R67" s="33"/>
      <c r="S67" s="33"/>
      <c r="T67" s="33"/>
      <c r="U67" s="33"/>
      <c r="V67" s="33"/>
      <c r="W67" s="33"/>
      <c r="X67" s="33"/>
      <c r="Y67" s="33"/>
      <c r="Z67" s="33"/>
      <c r="AA67" s="33"/>
      <c r="AB67" s="33"/>
      <c r="AC67" s="33"/>
      <c r="AD67" s="33"/>
      <c r="AE67" s="33"/>
    </row>
    <row r="68" spans="1:31" ht="52">
      <c r="A68" s="31" t="s">
        <v>359</v>
      </c>
      <c r="B68" s="31" t="s">
        <v>130</v>
      </c>
      <c r="C68" s="31">
        <v>89077</v>
      </c>
      <c r="D68" s="31" t="s">
        <v>276</v>
      </c>
      <c r="E68" s="32" t="s">
        <v>430</v>
      </c>
      <c r="F68" s="32" t="s">
        <v>458</v>
      </c>
      <c r="G68" s="33"/>
      <c r="H68" s="33"/>
      <c r="I68" s="31" t="s">
        <v>587</v>
      </c>
      <c r="J68" s="31" t="s">
        <v>626</v>
      </c>
      <c r="K68" s="33" t="s">
        <v>205</v>
      </c>
      <c r="L68" s="33" t="s">
        <v>205</v>
      </c>
      <c r="M68" s="31"/>
      <c r="N68" s="31"/>
      <c r="O68" s="31"/>
      <c r="P68" s="33" t="s">
        <v>203</v>
      </c>
      <c r="Q68" s="33"/>
      <c r="R68" s="33"/>
      <c r="S68" s="33"/>
      <c r="T68" s="33"/>
      <c r="U68" s="33"/>
      <c r="V68" s="33"/>
      <c r="W68" s="33"/>
      <c r="X68" s="33"/>
      <c r="Y68" s="33"/>
      <c r="Z68" s="33"/>
      <c r="AA68" s="33"/>
      <c r="AB68" s="33"/>
      <c r="AC68" s="33"/>
      <c r="AD68" s="33"/>
      <c r="AE68" s="33"/>
    </row>
    <row r="69" spans="1:31" ht="39">
      <c r="A69" s="31" t="s">
        <v>360</v>
      </c>
      <c r="B69" s="31" t="s">
        <v>131</v>
      </c>
      <c r="C69" s="31">
        <v>89094</v>
      </c>
      <c r="D69" s="31" t="s">
        <v>277</v>
      </c>
      <c r="E69" s="32" t="s">
        <v>431</v>
      </c>
      <c r="F69" s="33" t="s">
        <v>458</v>
      </c>
      <c r="G69" s="33"/>
      <c r="H69" s="33"/>
      <c r="I69" s="32" t="s">
        <v>586</v>
      </c>
      <c r="J69" s="31" t="s">
        <v>626</v>
      </c>
      <c r="K69" s="33" t="s">
        <v>205</v>
      </c>
      <c r="L69" s="33" t="s">
        <v>205</v>
      </c>
      <c r="M69" s="32"/>
      <c r="N69" s="32"/>
      <c r="O69" s="32"/>
      <c r="P69" s="33" t="s">
        <v>206</v>
      </c>
      <c r="Q69" s="33"/>
      <c r="R69" s="33"/>
      <c r="S69" s="33"/>
      <c r="T69" s="33"/>
      <c r="U69" s="33"/>
      <c r="V69" s="33"/>
      <c r="W69" s="33"/>
      <c r="X69" s="33"/>
      <c r="Y69" s="33"/>
      <c r="Z69" s="33"/>
      <c r="AA69" s="33"/>
      <c r="AB69" s="33"/>
      <c r="AC69" s="33"/>
      <c r="AD69" s="33"/>
      <c r="AE69" s="33"/>
    </row>
    <row r="70" spans="1:31" ht="52">
      <c r="A70" s="31" t="s">
        <v>361</v>
      </c>
      <c r="B70" s="31" t="s">
        <v>132</v>
      </c>
      <c r="C70" s="31">
        <v>89102</v>
      </c>
      <c r="D70" s="31" t="s">
        <v>278</v>
      </c>
      <c r="E70" s="32" t="s">
        <v>432</v>
      </c>
      <c r="F70" s="33" t="s">
        <v>458</v>
      </c>
      <c r="G70" s="33"/>
      <c r="H70" s="33"/>
      <c r="I70" s="32" t="s">
        <v>585</v>
      </c>
      <c r="J70" s="31" t="s">
        <v>626</v>
      </c>
      <c r="K70" s="33" t="s">
        <v>205</v>
      </c>
      <c r="L70" s="33" t="s">
        <v>205</v>
      </c>
      <c r="M70" s="32"/>
      <c r="N70" s="32"/>
      <c r="O70" s="32"/>
      <c r="P70" s="33" t="s">
        <v>206</v>
      </c>
      <c r="Q70" s="33"/>
      <c r="R70" s="33"/>
      <c r="S70" s="33"/>
      <c r="T70" s="33"/>
      <c r="U70" s="33"/>
      <c r="V70" s="33"/>
      <c r="W70" s="33"/>
      <c r="X70" s="33"/>
      <c r="Y70" s="33"/>
      <c r="Z70" s="33"/>
      <c r="AA70" s="33"/>
      <c r="AB70" s="33"/>
      <c r="AC70" s="33"/>
      <c r="AD70" s="33"/>
      <c r="AE70" s="33"/>
    </row>
    <row r="71" spans="1:31" ht="78">
      <c r="A71" s="31" t="s">
        <v>362</v>
      </c>
      <c r="B71" s="31" t="s">
        <v>133</v>
      </c>
      <c r="C71" s="31">
        <v>89111</v>
      </c>
      <c r="D71" s="31" t="s">
        <v>279</v>
      </c>
      <c r="E71" s="32" t="s">
        <v>433</v>
      </c>
      <c r="F71" s="32" t="s">
        <v>460</v>
      </c>
      <c r="G71" s="32" t="s">
        <v>449</v>
      </c>
      <c r="H71" s="33"/>
      <c r="I71" s="31" t="s">
        <v>584</v>
      </c>
      <c r="J71" s="31" t="s">
        <v>626</v>
      </c>
      <c r="K71" s="33" t="s">
        <v>205</v>
      </c>
      <c r="L71" s="33" t="s">
        <v>205</v>
      </c>
      <c r="M71" s="31"/>
      <c r="N71" s="33" t="s">
        <v>532</v>
      </c>
      <c r="O71" s="33" t="s">
        <v>546</v>
      </c>
      <c r="P71" s="33"/>
      <c r="Q71" s="33"/>
      <c r="R71" s="33"/>
      <c r="S71" s="33"/>
      <c r="T71" s="33"/>
      <c r="U71" s="33"/>
      <c r="V71" s="33"/>
      <c r="W71" s="33"/>
      <c r="X71" s="33"/>
      <c r="Y71" s="33"/>
      <c r="Z71" s="33"/>
      <c r="AA71" s="33" t="s">
        <v>204</v>
      </c>
      <c r="AB71" s="33" t="s">
        <v>201</v>
      </c>
      <c r="AC71" s="33"/>
      <c r="AD71" s="33"/>
      <c r="AE71" s="33"/>
    </row>
    <row r="72" spans="1:31" ht="169">
      <c r="A72" s="31" t="s">
        <v>363</v>
      </c>
      <c r="B72" s="31" t="s">
        <v>134</v>
      </c>
      <c r="C72" s="31">
        <v>89112</v>
      </c>
      <c r="D72" s="31" t="s">
        <v>280</v>
      </c>
      <c r="E72" s="32" t="s">
        <v>434</v>
      </c>
      <c r="F72" s="32" t="s">
        <v>460</v>
      </c>
      <c r="G72" s="33"/>
      <c r="H72" s="33"/>
      <c r="I72" s="31" t="s">
        <v>583</v>
      </c>
      <c r="J72" s="31" t="s">
        <v>626</v>
      </c>
      <c r="K72" s="33" t="s">
        <v>205</v>
      </c>
      <c r="L72" s="33" t="s">
        <v>205</v>
      </c>
      <c r="M72" s="31"/>
      <c r="N72" s="31" t="s">
        <v>544</v>
      </c>
      <c r="O72" s="31" t="s">
        <v>545</v>
      </c>
      <c r="P72" s="33"/>
      <c r="Q72" s="33"/>
      <c r="R72" s="33"/>
      <c r="S72" s="33"/>
      <c r="T72" s="33"/>
      <c r="U72" s="33"/>
      <c r="V72" s="33"/>
      <c r="W72" s="33"/>
      <c r="X72" s="33"/>
      <c r="Y72" s="33"/>
      <c r="Z72" s="33"/>
      <c r="AA72" s="33" t="s">
        <v>204</v>
      </c>
      <c r="AB72" s="33" t="s">
        <v>201</v>
      </c>
      <c r="AC72" s="33"/>
      <c r="AD72" s="33"/>
      <c r="AE72" s="33"/>
    </row>
    <row r="73" spans="1:31" ht="91">
      <c r="A73" s="31" t="s">
        <v>364</v>
      </c>
      <c r="B73" s="31" t="s">
        <v>135</v>
      </c>
      <c r="C73" s="31">
        <v>89113</v>
      </c>
      <c r="D73" s="31" t="s">
        <v>281</v>
      </c>
      <c r="E73" s="32" t="s">
        <v>435</v>
      </c>
      <c r="F73" s="32" t="s">
        <v>460</v>
      </c>
      <c r="G73" s="32" t="s">
        <v>454</v>
      </c>
      <c r="H73" s="33"/>
      <c r="I73" s="31" t="s">
        <v>582</v>
      </c>
      <c r="J73" s="31" t="s">
        <v>626</v>
      </c>
      <c r="K73" s="33" t="s">
        <v>205</v>
      </c>
      <c r="L73" s="33" t="s">
        <v>205</v>
      </c>
      <c r="M73" s="31"/>
      <c r="N73" s="33" t="s">
        <v>5</v>
      </c>
      <c r="O73" s="33" t="s">
        <v>543</v>
      </c>
      <c r="P73" s="33"/>
      <c r="Q73" s="33"/>
      <c r="R73" s="33"/>
      <c r="S73" s="33"/>
      <c r="T73" s="33"/>
      <c r="U73" s="33"/>
      <c r="V73" s="33"/>
      <c r="W73" s="33"/>
      <c r="X73" s="33"/>
      <c r="Y73" s="33"/>
      <c r="Z73" s="33"/>
      <c r="AA73" s="33" t="s">
        <v>204</v>
      </c>
      <c r="AB73" s="33"/>
      <c r="AC73" s="33"/>
      <c r="AD73" s="33" t="s">
        <v>201</v>
      </c>
      <c r="AE73" s="33"/>
    </row>
    <row r="74" spans="1:31" ht="78">
      <c r="A74" s="31" t="s">
        <v>365</v>
      </c>
      <c r="B74" s="31" t="s">
        <v>136</v>
      </c>
      <c r="C74" s="31">
        <v>89114</v>
      </c>
      <c r="D74" s="31" t="s">
        <v>282</v>
      </c>
      <c r="E74" s="32" t="s">
        <v>436</v>
      </c>
      <c r="F74" s="32" t="s">
        <v>460</v>
      </c>
      <c r="G74" s="33"/>
      <c r="H74" s="33"/>
      <c r="I74" s="31" t="s">
        <v>581</v>
      </c>
      <c r="J74" s="31" t="s">
        <v>627</v>
      </c>
      <c r="K74" s="33" t="s">
        <v>205</v>
      </c>
      <c r="L74" s="33" t="s">
        <v>205</v>
      </c>
      <c r="M74" s="31"/>
      <c r="N74" s="33" t="s">
        <v>541</v>
      </c>
      <c r="O74" s="33" t="s">
        <v>542</v>
      </c>
      <c r="P74" s="33"/>
      <c r="Q74" s="33"/>
      <c r="R74" s="33"/>
      <c r="S74" s="33"/>
      <c r="T74" s="33"/>
      <c r="U74" s="33"/>
      <c r="V74" s="33"/>
      <c r="W74" s="33"/>
      <c r="X74" s="33"/>
      <c r="Y74" s="33"/>
      <c r="Z74" s="33"/>
      <c r="AA74" s="33"/>
      <c r="AB74" s="33"/>
      <c r="AC74" s="33"/>
      <c r="AD74" s="33"/>
      <c r="AE74" s="33"/>
    </row>
    <row r="75" spans="1:31" ht="169">
      <c r="A75" s="31" t="s">
        <v>366</v>
      </c>
      <c r="B75" s="31" t="s">
        <v>137</v>
      </c>
      <c r="C75" s="31">
        <v>89115</v>
      </c>
      <c r="D75" s="31" t="s">
        <v>283</v>
      </c>
      <c r="E75" s="32" t="s">
        <v>425</v>
      </c>
      <c r="F75" s="32" t="s">
        <v>460</v>
      </c>
      <c r="G75" s="33"/>
      <c r="H75" s="33"/>
      <c r="I75" s="31" t="s">
        <v>580</v>
      </c>
      <c r="J75" s="31" t="s">
        <v>626</v>
      </c>
      <c r="K75" s="33" t="s">
        <v>205</v>
      </c>
      <c r="L75" s="33" t="s">
        <v>205</v>
      </c>
      <c r="M75" s="31"/>
      <c r="N75" s="32" t="s">
        <v>539</v>
      </c>
      <c r="O75" s="32" t="s">
        <v>540</v>
      </c>
      <c r="P75" s="33"/>
      <c r="Q75" s="33"/>
      <c r="R75" s="33"/>
      <c r="S75" s="33"/>
      <c r="T75" s="33"/>
      <c r="U75" s="33"/>
      <c r="V75" s="33"/>
      <c r="W75" s="33"/>
      <c r="X75" s="33"/>
      <c r="Y75" s="33"/>
      <c r="Z75" s="33"/>
      <c r="AA75" s="33" t="s">
        <v>204</v>
      </c>
      <c r="AB75" s="33"/>
      <c r="AC75" s="33"/>
      <c r="AD75" s="33" t="s">
        <v>201</v>
      </c>
      <c r="AE75" s="33"/>
    </row>
    <row r="76" spans="1:31" ht="104">
      <c r="A76" s="31" t="s">
        <v>367</v>
      </c>
      <c r="B76" s="31" t="s">
        <v>138</v>
      </c>
      <c r="C76" s="31">
        <v>89116</v>
      </c>
      <c r="D76" s="31" t="s">
        <v>284</v>
      </c>
      <c r="E76" s="32" t="s">
        <v>437</v>
      </c>
      <c r="F76" s="32" t="s">
        <v>460</v>
      </c>
      <c r="G76" s="33"/>
      <c r="H76" s="33"/>
      <c r="I76" s="31" t="s">
        <v>579</v>
      </c>
      <c r="J76" s="31" t="s">
        <v>626</v>
      </c>
      <c r="K76" s="33" t="s">
        <v>205</v>
      </c>
      <c r="L76" s="33" t="s">
        <v>205</v>
      </c>
      <c r="M76" s="31"/>
      <c r="N76" s="31" t="s">
        <v>537</v>
      </c>
      <c r="O76" s="31" t="s">
        <v>538</v>
      </c>
      <c r="P76" s="33"/>
      <c r="Q76" s="33"/>
      <c r="R76" s="33"/>
      <c r="S76" s="33"/>
      <c r="T76" s="33"/>
      <c r="U76" s="33"/>
      <c r="V76" s="33"/>
      <c r="W76" s="33"/>
      <c r="X76" s="33"/>
      <c r="Y76" s="33"/>
      <c r="Z76" s="33"/>
      <c r="AA76" s="33" t="s">
        <v>204</v>
      </c>
      <c r="AB76" s="33"/>
      <c r="AC76" s="33" t="s">
        <v>201</v>
      </c>
      <c r="AD76" s="33"/>
      <c r="AE76" s="33"/>
    </row>
    <row r="77" spans="1:31" ht="156">
      <c r="A77" s="31" t="s">
        <v>368</v>
      </c>
      <c r="B77" s="31" t="s">
        <v>139</v>
      </c>
      <c r="C77" s="31">
        <v>89117</v>
      </c>
      <c r="D77" s="31" t="s">
        <v>285</v>
      </c>
      <c r="E77" s="32" t="s">
        <v>438</v>
      </c>
      <c r="F77" s="32" t="s">
        <v>460</v>
      </c>
      <c r="G77" s="33"/>
      <c r="H77" s="33"/>
      <c r="I77" s="31" t="s">
        <v>578</v>
      </c>
      <c r="J77" s="31" t="s">
        <v>626</v>
      </c>
      <c r="K77" s="33" t="s">
        <v>205</v>
      </c>
      <c r="L77" s="33" t="s">
        <v>205</v>
      </c>
      <c r="M77" s="31"/>
      <c r="N77" s="33" t="s">
        <v>535</v>
      </c>
      <c r="O77" s="33" t="s">
        <v>536</v>
      </c>
      <c r="P77" s="33"/>
      <c r="Q77" s="33"/>
      <c r="R77" s="33"/>
      <c r="S77" s="33"/>
      <c r="T77" s="33"/>
      <c r="U77" s="33"/>
      <c r="V77" s="33"/>
      <c r="W77" s="33"/>
      <c r="X77" s="33"/>
      <c r="Y77" s="33"/>
      <c r="Z77" s="33"/>
      <c r="AA77" s="33" t="s">
        <v>204</v>
      </c>
      <c r="AB77" s="33"/>
      <c r="AC77" s="33" t="s">
        <v>201</v>
      </c>
      <c r="AD77" s="33"/>
      <c r="AE77" s="33"/>
    </row>
    <row r="78" spans="1:31" ht="39">
      <c r="A78" s="31" t="s">
        <v>369</v>
      </c>
      <c r="B78" s="31" t="s">
        <v>140</v>
      </c>
      <c r="C78" s="31">
        <v>89118</v>
      </c>
      <c r="D78" s="31" t="s">
        <v>286</v>
      </c>
      <c r="E78" s="32" t="s">
        <v>439</v>
      </c>
      <c r="F78" s="33" t="s">
        <v>458</v>
      </c>
      <c r="G78" s="33"/>
      <c r="H78" s="33"/>
      <c r="I78" s="32" t="s">
        <v>577</v>
      </c>
      <c r="J78" s="31" t="s">
        <v>626</v>
      </c>
      <c r="K78" s="33" t="s">
        <v>205</v>
      </c>
      <c r="L78" s="33" t="s">
        <v>205</v>
      </c>
      <c r="M78" s="32"/>
      <c r="N78" s="32"/>
      <c r="O78" s="32"/>
      <c r="P78" s="33" t="s">
        <v>206</v>
      </c>
      <c r="Q78" s="33"/>
      <c r="R78" s="33"/>
      <c r="S78" s="33"/>
      <c r="T78" s="33"/>
      <c r="U78" s="33"/>
      <c r="V78" s="33"/>
      <c r="W78" s="33"/>
      <c r="X78" s="33"/>
      <c r="Y78" s="33"/>
      <c r="Z78" s="33"/>
      <c r="AA78" s="33"/>
      <c r="AB78" s="33"/>
      <c r="AC78" s="33"/>
      <c r="AD78" s="33"/>
      <c r="AE78" s="33"/>
    </row>
    <row r="79" spans="1:31" ht="52">
      <c r="A79" s="31" t="s">
        <v>370</v>
      </c>
      <c r="B79" s="31" t="s">
        <v>141</v>
      </c>
      <c r="C79" s="31">
        <v>89119</v>
      </c>
      <c r="D79" s="31" t="s">
        <v>287</v>
      </c>
      <c r="E79" s="32" t="s">
        <v>440</v>
      </c>
      <c r="F79" s="33" t="s">
        <v>458</v>
      </c>
      <c r="G79" s="33"/>
      <c r="H79" s="33"/>
      <c r="I79" s="32" t="s">
        <v>576</v>
      </c>
      <c r="J79" s="31" t="s">
        <v>626</v>
      </c>
      <c r="K79" s="33" t="s">
        <v>205</v>
      </c>
      <c r="L79" s="33" t="s">
        <v>205</v>
      </c>
      <c r="M79" s="32"/>
      <c r="N79" s="32"/>
      <c r="O79" s="32"/>
      <c r="P79" s="33" t="s">
        <v>206</v>
      </c>
      <c r="Q79" s="33"/>
      <c r="R79" s="33"/>
      <c r="S79" s="33"/>
      <c r="T79" s="33"/>
      <c r="U79" s="33"/>
      <c r="V79" s="33"/>
      <c r="W79" s="33"/>
      <c r="X79" s="33"/>
      <c r="Y79" s="33"/>
      <c r="Z79" s="33"/>
      <c r="AA79" s="33"/>
      <c r="AB79" s="33"/>
      <c r="AC79" s="33"/>
      <c r="AD79" s="33"/>
      <c r="AE79" s="33"/>
    </row>
    <row r="80" spans="1:31" ht="117">
      <c r="A80" s="31" t="s">
        <v>371</v>
      </c>
      <c r="B80" s="31" t="s">
        <v>143</v>
      </c>
      <c r="C80" s="31">
        <v>89120</v>
      </c>
      <c r="D80" s="31" t="s">
        <v>288</v>
      </c>
      <c r="E80" s="32" t="s">
        <v>441</v>
      </c>
      <c r="F80" s="32" t="s">
        <v>460</v>
      </c>
      <c r="G80" s="32" t="s">
        <v>453</v>
      </c>
      <c r="H80" s="32"/>
      <c r="I80" s="32" t="s">
        <v>575</v>
      </c>
      <c r="J80" s="31" t="s">
        <v>626</v>
      </c>
      <c r="K80" s="33" t="s">
        <v>205</v>
      </c>
      <c r="L80" s="33" t="s">
        <v>205</v>
      </c>
      <c r="M80" s="32"/>
      <c r="N80" s="33" t="s">
        <v>532</v>
      </c>
      <c r="O80" s="33" t="s">
        <v>533</v>
      </c>
      <c r="P80" s="33" t="s">
        <v>204</v>
      </c>
      <c r="Q80" s="33"/>
      <c r="R80" s="33" t="s">
        <v>201</v>
      </c>
      <c r="S80" s="33"/>
      <c r="T80" s="33"/>
      <c r="U80" s="33"/>
      <c r="V80" s="33"/>
      <c r="W80" s="33"/>
      <c r="X80" s="33"/>
      <c r="Y80" s="33"/>
      <c r="Z80" s="33"/>
      <c r="AA80" s="33"/>
      <c r="AB80" s="33"/>
      <c r="AC80" s="33"/>
      <c r="AD80" s="33"/>
      <c r="AE80" s="33"/>
    </row>
    <row r="81" spans="1:31" ht="169">
      <c r="A81" s="31" t="s">
        <v>372</v>
      </c>
      <c r="B81" s="31" t="s">
        <v>142</v>
      </c>
      <c r="C81" s="31">
        <v>89121</v>
      </c>
      <c r="D81" s="31" t="s">
        <v>289</v>
      </c>
      <c r="E81" s="32" t="s">
        <v>442</v>
      </c>
      <c r="F81" s="32" t="s">
        <v>460</v>
      </c>
      <c r="G81" s="32" t="s">
        <v>454</v>
      </c>
      <c r="H81" s="32"/>
      <c r="I81" s="31" t="s">
        <v>574</v>
      </c>
      <c r="J81" s="31" t="s">
        <v>626</v>
      </c>
      <c r="K81" s="33" t="s">
        <v>205</v>
      </c>
      <c r="L81" s="33" t="s">
        <v>205</v>
      </c>
      <c r="M81" s="31"/>
      <c r="N81" s="31" t="s">
        <v>530</v>
      </c>
      <c r="O81" s="31" t="s">
        <v>531</v>
      </c>
      <c r="P81" s="33" t="s">
        <v>204</v>
      </c>
      <c r="Q81" s="33"/>
      <c r="R81" s="33" t="s">
        <v>201</v>
      </c>
      <c r="S81" s="33" t="s">
        <v>201</v>
      </c>
      <c r="T81" s="33"/>
      <c r="U81" s="33"/>
      <c r="V81" s="33"/>
      <c r="W81" s="33"/>
      <c r="X81" s="33"/>
      <c r="Y81" s="33"/>
      <c r="Z81" s="33"/>
      <c r="AA81" s="33"/>
      <c r="AB81" s="33"/>
      <c r="AC81" s="33"/>
      <c r="AD81" s="33"/>
      <c r="AE81" s="33"/>
    </row>
  </sheetData>
  <autoFilter ref="A1:AE81">
    <sortState ref="A2:AE81">
      <sortCondition ref="C1:C81"/>
    </sortState>
  </autoFilter>
  <customSheetViews>
    <customSheetView guid="{53C5DE82-FE17-4722-873D-10749BE7DF83}" scale="85" showAutoFilter="1">
      <pane ySplit="1" topLeftCell="A2" activePane="bottomLeft" state="frozenSplit"/>
      <selection pane="bottomLeft" activeCell="I3" sqref="I3"/>
      <pageSetup orientation="portrait"/>
      <autoFilter ref="A1:K81">
        <sortState ref="A2:J81">
          <sortCondition ref="C1:C81"/>
        </sortState>
      </autoFilter>
    </customSheetView>
  </customSheetViews>
  <conditionalFormatting sqref="F2:F1048576">
    <cfRule type="expression" dxfId="4" priority="4" stopIfTrue="1">
      <formula>LEN(H2)&gt;0</formula>
    </cfRule>
  </conditionalFormatting>
  <conditionalFormatting sqref="H5 H35 H16">
    <cfRule type="expression" dxfId="3" priority="45" stopIfTrue="1">
      <formula>LEN(AE5)&gt;0</formula>
    </cfRule>
  </conditionalFormatting>
  <dataValidations disablePrompts="1" count="6">
    <dataValidation type="list" allowBlank="1" showInputMessage="1" showErrorMessage="1" sqref="G22 G74">
      <formula1>LDAPlaced</formula1>
    </dataValidation>
    <dataValidation type="list" allowBlank="1" showInputMessage="1" showErrorMessage="1" sqref="G24 G28:G30 G5 G33">
      <formula1>LevSde</formula1>
    </dataValidation>
    <dataValidation type="list" allowBlank="1" showInputMessage="1" showErrorMessage="1" sqref="G77 G52 G61 G72 G75">
      <formula1>LevFloSde</formula1>
    </dataValidation>
    <dataValidation type="list" allowBlank="1" showInputMessage="1" showErrorMessage="1" sqref="F5:F81">
      <formula1>Config</formula1>
    </dataValidation>
    <dataValidation type="list" allowBlank="1" showInputMessage="1" showErrorMessage="1" sqref="G76">
      <formula1>MedList</formula1>
    </dataValidation>
    <dataValidation type="list" allowBlank="1" showInputMessage="1" showErrorMessage="1" sqref="G37">
      <formula1>LevCase</formula1>
    </dataValidation>
  </dataValidation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cellIs" priority="5" operator="equal" id="{B0BE64C8-A8C9-4ABA-93A3-D14B4CC25CCE}">
            <xm:f>'(Hidden Sheet)'!$H$1</xm:f>
            <x14:dxf>
              <fill>
                <patternFill>
                  <bgColor theme="5" tint="0.39994506668294322"/>
                </patternFill>
              </fill>
            </x14:dxf>
          </x14:cfRule>
          <x14:cfRule type="cellIs" priority="6" operator="equal" id="{49B237D8-9143-4D6E-AE18-E2AA190FD795}">
            <xm:f>'(Hidden Sheet)'!$H$2</xm:f>
            <x14:dxf>
              <fill>
                <patternFill>
                  <bgColor theme="7" tint="0.59996337778862885"/>
                </patternFill>
              </fill>
            </x14:dxf>
          </x14:cfRule>
          <x14:cfRule type="cellIs" priority="7" operator="equal" id="{866B55DD-3DE8-400D-93A8-451566911F83}">
            <xm:f>'(Hidden Sheet)'!$H$3</xm:f>
            <x14:dxf>
              <fill>
                <patternFill>
                  <bgColor theme="9" tint="0.59996337778862885"/>
                </patternFill>
              </fill>
            </x14:dxf>
          </x14:cfRule>
          <xm:sqref>F1:F1048576 H16 H5 H35</xm:sqref>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abSelected="1" workbookViewId="0"/>
  </sheetViews>
  <sheetFormatPr baseColWidth="10" defaultColWidth="8.875" defaultRowHeight="15" x14ac:dyDescent="0"/>
  <cols>
    <col min="1" max="1" width="182.5" style="52" customWidth="1"/>
  </cols>
  <sheetData>
    <row r="1" spans="1:1" ht="105">
      <c r="A1" s="51" t="s">
        <v>527</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6" tint="0.39997558519241921"/>
  </sheetPr>
  <dimension ref="A1:X624"/>
  <sheetViews>
    <sheetView workbookViewId="0">
      <selection activeCell="F7" sqref="F7"/>
    </sheetView>
  </sheetViews>
  <sheetFormatPr baseColWidth="10" defaultColWidth="8.875" defaultRowHeight="15" x14ac:dyDescent="0"/>
  <cols>
    <col min="20" max="20" width="13.5" bestFit="1" customWidth="1"/>
    <col min="21" max="23" width="2" hidden="1" customWidth="1"/>
    <col min="24" max="24" width="33.5" bestFit="1" customWidth="1"/>
  </cols>
  <sheetData>
    <row r="1" spans="1:24">
      <c r="A1" t="s">
        <v>444</v>
      </c>
      <c r="B1" t="s">
        <v>444</v>
      </c>
      <c r="C1" t="s">
        <v>444</v>
      </c>
      <c r="D1" t="s">
        <v>450</v>
      </c>
      <c r="E1" t="s">
        <v>444</v>
      </c>
      <c r="F1" t="s">
        <v>471</v>
      </c>
      <c r="H1" t="s">
        <v>460</v>
      </c>
      <c r="L1" t="s">
        <v>505</v>
      </c>
      <c r="Q1" t="s">
        <v>473</v>
      </c>
      <c r="R1" t="s">
        <v>511</v>
      </c>
      <c r="S1" t="s">
        <v>474</v>
      </c>
      <c r="T1" t="s">
        <v>475</v>
      </c>
      <c r="U1" t="s">
        <v>508</v>
      </c>
      <c r="V1" t="s">
        <v>509</v>
      </c>
      <c r="W1" t="s">
        <v>510</v>
      </c>
      <c r="X1" t="s">
        <v>476</v>
      </c>
    </row>
    <row r="2" spans="1:24">
      <c r="A2" t="s">
        <v>446</v>
      </c>
      <c r="B2" t="s">
        <v>445</v>
      </c>
      <c r="C2" t="s">
        <v>447</v>
      </c>
      <c r="D2" t="s">
        <v>451</v>
      </c>
      <c r="E2" t="s">
        <v>446</v>
      </c>
      <c r="F2" t="s">
        <v>445</v>
      </c>
      <c r="H2" t="s">
        <v>458</v>
      </c>
      <c r="L2" t="s">
        <v>506</v>
      </c>
      <c r="R2">
        <f ca="1">IF(INDEX(W:W,X2)&gt;0,1,0)</f>
        <v>0</v>
      </c>
      <c r="S2">
        <f>Metrics!B2</f>
        <v>89005</v>
      </c>
      <c r="T2">
        <f>'Metric Details'!C2</f>
        <v>82013</v>
      </c>
      <c r="U2">
        <f>IF('Metric Details'!F2=$H$1,0,IF('Metric Details'!F2=$H$2,1,2))</f>
        <v>2</v>
      </c>
      <c r="V2">
        <f>LEN('Metric Details'!H2)</f>
        <v>0</v>
      </c>
      <c r="W2">
        <f>IF(V2&gt;0,2,U2)</f>
        <v>2</v>
      </c>
      <c r="X2">
        <f t="shared" ref="X2:X3" ca="1" si="0">ROW(INDIRECT(ADDRESS(MATCH(S2,T:T,0),COLUMN(T2),1)))</f>
        <v>5</v>
      </c>
    </row>
    <row r="3" spans="1:24">
      <c r="A3" t="s">
        <v>464</v>
      </c>
      <c r="B3" t="s">
        <v>465</v>
      </c>
      <c r="D3" t="s">
        <v>455</v>
      </c>
      <c r="E3" t="s">
        <v>445</v>
      </c>
      <c r="F3" t="s">
        <v>472</v>
      </c>
      <c r="H3" t="s">
        <v>459</v>
      </c>
      <c r="R3">
        <f t="shared" ref="R3:R66" ca="1" si="1">IF(INDEX(W:W,X3)&gt;0,1,0)</f>
        <v>1</v>
      </c>
      <c r="S3">
        <f>Metrics!B3</f>
        <v>89006</v>
      </c>
      <c r="T3">
        <f>'Metric Details'!C3</f>
        <v>84041</v>
      </c>
      <c r="U3">
        <f>IF('Metric Details'!F3=$H$1,0,IF('Metric Details'!F3=$H$2,1,2))</f>
        <v>2</v>
      </c>
      <c r="V3">
        <f>LEN('Metric Details'!H3)</f>
        <v>0</v>
      </c>
      <c r="W3">
        <f t="shared" ref="W3:W66" si="2">IF(V3&gt;0,2,U3)</f>
        <v>2</v>
      </c>
      <c r="X3">
        <f t="shared" ca="1" si="0"/>
        <v>6</v>
      </c>
    </row>
    <row r="4" spans="1:24">
      <c r="E4" t="s">
        <v>464</v>
      </c>
      <c r="R4">
        <f t="shared" ca="1" si="1"/>
        <v>1</v>
      </c>
      <c r="S4">
        <f>Metrics!B4</f>
        <v>89007</v>
      </c>
      <c r="T4">
        <f>'Metric Details'!C4</f>
        <v>84046</v>
      </c>
      <c r="U4">
        <f>IF('Metric Details'!F4=$H$1,0,IF('Metric Details'!F4=$H$2,1,2))</f>
        <v>2</v>
      </c>
      <c r="V4">
        <f>LEN('Metric Details'!H4)</f>
        <v>0</v>
      </c>
      <c r="W4">
        <f t="shared" si="2"/>
        <v>2</v>
      </c>
      <c r="X4">
        <f ca="1">ROW(INDIRECT(ADDRESS(MATCH(S4,T:T,0),COLUMN(T4),1)))</f>
        <v>7</v>
      </c>
    </row>
    <row r="5" spans="1:24">
      <c r="E5" t="s">
        <v>465</v>
      </c>
      <c r="R5">
        <f t="shared" ca="1" si="1"/>
        <v>1</v>
      </c>
      <c r="S5">
        <f>Metrics!B5</f>
        <v>89008</v>
      </c>
      <c r="T5">
        <f>'Metric Details'!C5</f>
        <v>89005</v>
      </c>
      <c r="U5">
        <f>IF('Metric Details'!F5=$H$1,0,IF('Metric Details'!F5=$H$2,1,2))</f>
        <v>0</v>
      </c>
      <c r="V5">
        <f>LEN('Metric Details'!H5)</f>
        <v>0</v>
      </c>
      <c r="W5">
        <f t="shared" si="2"/>
        <v>0</v>
      </c>
      <c r="X5">
        <f ca="1">ROW(INDIRECT(ADDRESS(MATCH(S5,T:T,0),COLUMN(T5),1)))</f>
        <v>8</v>
      </c>
    </row>
    <row r="6" spans="1:24">
      <c r="E6" t="s">
        <v>466</v>
      </c>
      <c r="R6">
        <f t="shared" ca="1" si="1"/>
        <v>1</v>
      </c>
      <c r="S6">
        <f>Metrics!B6</f>
        <v>89010</v>
      </c>
      <c r="T6">
        <f>'Metric Details'!C6</f>
        <v>89006</v>
      </c>
      <c r="U6">
        <f>IF('Metric Details'!F6=$H$1,0,IF('Metric Details'!F6=$H$2,1,2))</f>
        <v>2</v>
      </c>
      <c r="V6">
        <f>LEN('Metric Details'!H6)</f>
        <v>0</v>
      </c>
      <c r="W6">
        <f t="shared" si="2"/>
        <v>2</v>
      </c>
      <c r="X6">
        <f t="shared" ref="X6:X69" ca="1" si="3">ROW(INDIRECT(ADDRESS(MATCH(S6,T:T,0),COLUMN(T6),1)))</f>
        <v>9</v>
      </c>
    </row>
    <row r="7" spans="1:24">
      <c r="E7" t="s">
        <v>467</v>
      </c>
      <c r="R7">
        <f t="shared" ca="1" si="1"/>
        <v>1</v>
      </c>
      <c r="S7">
        <f>Metrics!B7</f>
        <v>89011</v>
      </c>
      <c r="T7">
        <f>'Metric Details'!C7</f>
        <v>89007</v>
      </c>
      <c r="U7">
        <f>IF('Metric Details'!F7=$H$1,0,IF('Metric Details'!F7=$H$2,1,2))</f>
        <v>2</v>
      </c>
      <c r="V7">
        <f>LEN('Metric Details'!H7)</f>
        <v>0</v>
      </c>
      <c r="W7">
        <f t="shared" si="2"/>
        <v>2</v>
      </c>
      <c r="X7">
        <f t="shared" ca="1" si="3"/>
        <v>10</v>
      </c>
    </row>
    <row r="8" spans="1:24">
      <c r="R8">
        <f t="shared" ca="1" si="1"/>
        <v>1</v>
      </c>
      <c r="S8">
        <f>Metrics!B8</f>
        <v>89012</v>
      </c>
      <c r="T8">
        <f>'Metric Details'!C8</f>
        <v>89008</v>
      </c>
      <c r="U8">
        <f>IF('Metric Details'!F8=$H$1,0,IF('Metric Details'!F8=$H$2,1,2))</f>
        <v>1</v>
      </c>
      <c r="V8">
        <f>LEN('Metric Details'!H8)</f>
        <v>0</v>
      </c>
      <c r="W8">
        <f t="shared" si="2"/>
        <v>1</v>
      </c>
      <c r="X8">
        <f t="shared" ca="1" si="3"/>
        <v>11</v>
      </c>
    </row>
    <row r="9" spans="1:24">
      <c r="R9">
        <f t="shared" ca="1" si="1"/>
        <v>1</v>
      </c>
      <c r="S9">
        <f>Metrics!B9</f>
        <v>89013</v>
      </c>
      <c r="T9">
        <f>'Metric Details'!C9</f>
        <v>89010</v>
      </c>
      <c r="U9">
        <f>IF('Metric Details'!F9=$H$1,0,IF('Metric Details'!F9=$H$2,1,2))</f>
        <v>2</v>
      </c>
      <c r="V9">
        <f>LEN('Metric Details'!H9)</f>
        <v>0</v>
      </c>
      <c r="W9">
        <f t="shared" si="2"/>
        <v>2</v>
      </c>
      <c r="X9">
        <f t="shared" ca="1" si="3"/>
        <v>12</v>
      </c>
    </row>
    <row r="10" spans="1:24">
      <c r="R10">
        <f t="shared" ca="1" si="1"/>
        <v>1</v>
      </c>
      <c r="S10">
        <f>Metrics!B10</f>
        <v>89014</v>
      </c>
      <c r="T10">
        <f>'Metric Details'!C10</f>
        <v>89011</v>
      </c>
      <c r="U10">
        <f>IF('Metric Details'!F10=$H$1,0,IF('Metric Details'!F10=$H$2,1,2))</f>
        <v>2</v>
      </c>
      <c r="V10">
        <f>LEN('Metric Details'!H10)</f>
        <v>0</v>
      </c>
      <c r="W10">
        <f t="shared" si="2"/>
        <v>2</v>
      </c>
      <c r="X10">
        <f t="shared" ca="1" si="3"/>
        <v>13</v>
      </c>
    </row>
    <row r="11" spans="1:24">
      <c r="R11">
        <f t="shared" ca="1" si="1"/>
        <v>0</v>
      </c>
      <c r="S11">
        <f>Metrics!B11</f>
        <v>89016</v>
      </c>
      <c r="T11">
        <f>'Metric Details'!C11</f>
        <v>89012</v>
      </c>
      <c r="U11">
        <f>IF('Metric Details'!F11=$H$1,0,IF('Metric Details'!F11=$H$2,1,2))</f>
        <v>2</v>
      </c>
      <c r="V11">
        <f>LEN('Metric Details'!H11)</f>
        <v>0</v>
      </c>
      <c r="W11">
        <f t="shared" si="2"/>
        <v>2</v>
      </c>
      <c r="X11">
        <f t="shared" ca="1" si="3"/>
        <v>14</v>
      </c>
    </row>
    <row r="12" spans="1:24">
      <c r="R12">
        <f t="shared" ca="1" si="1"/>
        <v>0</v>
      </c>
      <c r="S12">
        <f>Metrics!B12</f>
        <v>89017</v>
      </c>
      <c r="T12">
        <f>'Metric Details'!C12</f>
        <v>89013</v>
      </c>
      <c r="U12">
        <f>IF('Metric Details'!F12=$H$1,0,IF('Metric Details'!F12=$H$2,1,2))</f>
        <v>1</v>
      </c>
      <c r="V12">
        <f>LEN('Metric Details'!H12)</f>
        <v>0</v>
      </c>
      <c r="W12">
        <f t="shared" si="2"/>
        <v>1</v>
      </c>
      <c r="X12">
        <f t="shared" ca="1" si="3"/>
        <v>15</v>
      </c>
    </row>
    <row r="13" spans="1:24">
      <c r="R13">
        <f t="shared" ca="1" si="1"/>
        <v>1</v>
      </c>
      <c r="S13">
        <f>Metrics!B13</f>
        <v>89018</v>
      </c>
      <c r="T13">
        <f>'Metric Details'!C13</f>
        <v>89014</v>
      </c>
      <c r="U13">
        <f>IF('Metric Details'!F13=$H$1,0,IF('Metric Details'!F13=$H$2,1,2))</f>
        <v>1</v>
      </c>
      <c r="V13">
        <f>LEN('Metric Details'!H13)</f>
        <v>0</v>
      </c>
      <c r="W13">
        <f t="shared" si="2"/>
        <v>1</v>
      </c>
      <c r="X13">
        <f t="shared" ca="1" si="3"/>
        <v>16</v>
      </c>
    </row>
    <row r="14" spans="1:24">
      <c r="R14">
        <f t="shared" ca="1" si="1"/>
        <v>1</v>
      </c>
      <c r="S14">
        <f>Metrics!B14</f>
        <v>89019</v>
      </c>
      <c r="T14">
        <f>'Metric Details'!C14</f>
        <v>89016</v>
      </c>
      <c r="U14">
        <f>IF('Metric Details'!F14=$H$1,0,IF('Metric Details'!F14=$H$2,1,2))</f>
        <v>0</v>
      </c>
      <c r="V14">
        <f>LEN('Metric Details'!H14)</f>
        <v>0</v>
      </c>
      <c r="W14">
        <f t="shared" si="2"/>
        <v>0</v>
      </c>
      <c r="X14">
        <f t="shared" ca="1" si="3"/>
        <v>17</v>
      </c>
    </row>
    <row r="15" spans="1:24">
      <c r="R15">
        <f t="shared" ca="1" si="1"/>
        <v>1</v>
      </c>
      <c r="S15">
        <f>Metrics!B15</f>
        <v>89020</v>
      </c>
      <c r="T15">
        <f>'Metric Details'!C15</f>
        <v>89017</v>
      </c>
      <c r="U15">
        <f>IF('Metric Details'!F15=$H$1,0,IF('Metric Details'!F15=$H$2,1,2))</f>
        <v>0</v>
      </c>
      <c r="V15">
        <f>LEN('Metric Details'!H15)</f>
        <v>0</v>
      </c>
      <c r="W15">
        <f t="shared" si="2"/>
        <v>0</v>
      </c>
      <c r="X15">
        <f t="shared" ca="1" si="3"/>
        <v>18</v>
      </c>
    </row>
    <row r="16" spans="1:24">
      <c r="R16">
        <f t="shared" ca="1" si="1"/>
        <v>1</v>
      </c>
      <c r="S16">
        <f>Metrics!B16</f>
        <v>89021</v>
      </c>
      <c r="T16">
        <f>'Metric Details'!C16</f>
        <v>89018</v>
      </c>
      <c r="U16">
        <f>IF('Metric Details'!F16=$H$1,0,IF('Metric Details'!F16=$H$2,1,2))</f>
        <v>1</v>
      </c>
      <c r="V16">
        <f>LEN('Metric Details'!H16)</f>
        <v>0</v>
      </c>
      <c r="W16">
        <f t="shared" si="2"/>
        <v>1</v>
      </c>
      <c r="X16">
        <f t="shared" ca="1" si="3"/>
        <v>19</v>
      </c>
    </row>
    <row r="17" spans="18:24">
      <c r="R17">
        <f t="shared" ca="1" si="1"/>
        <v>1</v>
      </c>
      <c r="S17">
        <f>Metrics!B17</f>
        <v>89022</v>
      </c>
      <c r="T17">
        <f>'Metric Details'!C17</f>
        <v>89019</v>
      </c>
      <c r="U17">
        <f>IF('Metric Details'!F17=$H$1,0,IF('Metric Details'!F17=$H$2,1,2))</f>
        <v>1</v>
      </c>
      <c r="V17">
        <f>LEN('Metric Details'!H17)</f>
        <v>0</v>
      </c>
      <c r="W17">
        <f t="shared" si="2"/>
        <v>1</v>
      </c>
      <c r="X17">
        <f t="shared" ca="1" si="3"/>
        <v>20</v>
      </c>
    </row>
    <row r="18" spans="18:24">
      <c r="R18">
        <f t="shared" ca="1" si="1"/>
        <v>0</v>
      </c>
      <c r="S18">
        <f>Metrics!B18</f>
        <v>89023</v>
      </c>
      <c r="T18">
        <f>'Metric Details'!C18</f>
        <v>89020</v>
      </c>
      <c r="U18">
        <f>IF('Metric Details'!F18=$H$1,0,IF('Metric Details'!F18=$H$2,1,2))</f>
        <v>1</v>
      </c>
      <c r="V18">
        <f>LEN('Metric Details'!H18)</f>
        <v>0</v>
      </c>
      <c r="W18">
        <f t="shared" si="2"/>
        <v>1</v>
      </c>
      <c r="X18">
        <f t="shared" ca="1" si="3"/>
        <v>21</v>
      </c>
    </row>
    <row r="19" spans="18:24">
      <c r="R19">
        <f t="shared" ca="1" si="1"/>
        <v>0</v>
      </c>
      <c r="S19">
        <f>Metrics!B19</f>
        <v>89024</v>
      </c>
      <c r="T19">
        <f>'Metric Details'!C19</f>
        <v>89021</v>
      </c>
      <c r="U19">
        <f>IF('Metric Details'!F19=$H$1,0,IF('Metric Details'!F19=$H$2,1,2))</f>
        <v>1</v>
      </c>
      <c r="V19">
        <f>LEN('Metric Details'!H19)</f>
        <v>0</v>
      </c>
      <c r="W19">
        <f t="shared" si="2"/>
        <v>1</v>
      </c>
      <c r="X19">
        <f t="shared" ca="1" si="3"/>
        <v>22</v>
      </c>
    </row>
    <row r="20" spans="18:24">
      <c r="R20">
        <f t="shared" ca="1" si="1"/>
        <v>0</v>
      </c>
      <c r="S20">
        <f>Metrics!B20</f>
        <v>89025</v>
      </c>
      <c r="T20">
        <f>'Metric Details'!C20</f>
        <v>89022</v>
      </c>
      <c r="U20">
        <f>IF('Metric Details'!F20=$H$1,0,IF('Metric Details'!F20=$H$2,1,2))</f>
        <v>1</v>
      </c>
      <c r="V20">
        <f>LEN('Metric Details'!H20)</f>
        <v>0</v>
      </c>
      <c r="W20">
        <f t="shared" si="2"/>
        <v>1</v>
      </c>
      <c r="X20">
        <f t="shared" ca="1" si="3"/>
        <v>23</v>
      </c>
    </row>
    <row r="21" spans="18:24">
      <c r="R21">
        <f t="shared" ca="1" si="1"/>
        <v>0</v>
      </c>
      <c r="S21">
        <f>Metrics!B21</f>
        <v>89026</v>
      </c>
      <c r="T21">
        <f>'Metric Details'!C21</f>
        <v>89023</v>
      </c>
      <c r="U21">
        <f>IF('Metric Details'!F21=$H$1,0,IF('Metric Details'!F21=$H$2,1,2))</f>
        <v>0</v>
      </c>
      <c r="V21">
        <f>LEN('Metric Details'!H21)</f>
        <v>0</v>
      </c>
      <c r="W21">
        <f t="shared" si="2"/>
        <v>0</v>
      </c>
      <c r="X21">
        <f t="shared" ca="1" si="3"/>
        <v>24</v>
      </c>
    </row>
    <row r="22" spans="18:24">
      <c r="R22">
        <f t="shared" ca="1" si="1"/>
        <v>0</v>
      </c>
      <c r="S22">
        <f>Metrics!B22</f>
        <v>89027</v>
      </c>
      <c r="T22">
        <f>'Metric Details'!C22</f>
        <v>89024</v>
      </c>
      <c r="U22">
        <f>IF('Metric Details'!F22=$H$1,0,IF('Metric Details'!F22=$H$2,1,2))</f>
        <v>0</v>
      </c>
      <c r="V22">
        <f>LEN('Metric Details'!H22)</f>
        <v>0</v>
      </c>
      <c r="W22">
        <f t="shared" si="2"/>
        <v>0</v>
      </c>
      <c r="X22">
        <f t="shared" ca="1" si="3"/>
        <v>25</v>
      </c>
    </row>
    <row r="23" spans="18:24">
      <c r="R23">
        <f t="shared" ca="1" si="1"/>
        <v>0</v>
      </c>
      <c r="S23">
        <f>Metrics!B23</f>
        <v>89028</v>
      </c>
      <c r="T23">
        <f>'Metric Details'!C23</f>
        <v>89025</v>
      </c>
      <c r="U23">
        <f>IF('Metric Details'!F23=$H$1,0,IF('Metric Details'!F23=$H$2,1,2))</f>
        <v>0</v>
      </c>
      <c r="V23">
        <f>LEN('Metric Details'!H23)</f>
        <v>0</v>
      </c>
      <c r="W23">
        <f t="shared" si="2"/>
        <v>0</v>
      </c>
      <c r="X23">
        <f t="shared" ca="1" si="3"/>
        <v>26</v>
      </c>
    </row>
    <row r="24" spans="18:24">
      <c r="R24">
        <f t="shared" ca="1" si="1"/>
        <v>0</v>
      </c>
      <c r="S24">
        <f>Metrics!B24</f>
        <v>89029</v>
      </c>
      <c r="T24">
        <f>'Metric Details'!C24</f>
        <v>89026</v>
      </c>
      <c r="U24">
        <f>IF('Metric Details'!F24=$H$1,0,IF('Metric Details'!F24=$H$2,1,2))</f>
        <v>0</v>
      </c>
      <c r="V24">
        <f>LEN('Metric Details'!H24)</f>
        <v>0</v>
      </c>
      <c r="W24">
        <f t="shared" si="2"/>
        <v>0</v>
      </c>
      <c r="X24">
        <f t="shared" ca="1" si="3"/>
        <v>27</v>
      </c>
    </row>
    <row r="25" spans="18:24">
      <c r="R25">
        <f t="shared" ca="1" si="1"/>
        <v>0</v>
      </c>
      <c r="S25">
        <f>Metrics!B25</f>
        <v>89032</v>
      </c>
      <c r="T25">
        <f>'Metric Details'!C25</f>
        <v>89027</v>
      </c>
      <c r="U25">
        <f>IF('Metric Details'!F25=$H$1,0,IF('Metric Details'!F25=$H$2,1,2))</f>
        <v>0</v>
      </c>
      <c r="V25">
        <f>LEN('Metric Details'!H25)</f>
        <v>0</v>
      </c>
      <c r="W25">
        <f t="shared" si="2"/>
        <v>0</v>
      </c>
      <c r="X25">
        <f t="shared" ca="1" si="3"/>
        <v>28</v>
      </c>
    </row>
    <row r="26" spans="18:24">
      <c r="R26">
        <f t="shared" ca="1" si="1"/>
        <v>0</v>
      </c>
      <c r="S26">
        <f>Metrics!B26</f>
        <v>89033</v>
      </c>
      <c r="T26">
        <f>'Metric Details'!C26</f>
        <v>89028</v>
      </c>
      <c r="U26">
        <f>IF('Metric Details'!F26=$H$1,0,IF('Metric Details'!F26=$H$2,1,2))</f>
        <v>0</v>
      </c>
      <c r="V26">
        <f>LEN('Metric Details'!H26)</f>
        <v>0</v>
      </c>
      <c r="W26">
        <f t="shared" si="2"/>
        <v>0</v>
      </c>
      <c r="X26">
        <f t="shared" ca="1" si="3"/>
        <v>29</v>
      </c>
    </row>
    <row r="27" spans="18:24">
      <c r="R27">
        <f t="shared" ca="1" si="1"/>
        <v>0</v>
      </c>
      <c r="S27">
        <f>Metrics!B27</f>
        <v>89034</v>
      </c>
      <c r="T27">
        <f>'Metric Details'!C27</f>
        <v>89029</v>
      </c>
      <c r="U27">
        <f>IF('Metric Details'!F27=$H$1,0,IF('Metric Details'!F27=$H$2,1,2))</f>
        <v>0</v>
      </c>
      <c r="V27">
        <f>LEN('Metric Details'!H27)</f>
        <v>0</v>
      </c>
      <c r="W27">
        <f t="shared" si="2"/>
        <v>0</v>
      </c>
      <c r="X27">
        <f t="shared" ca="1" si="3"/>
        <v>30</v>
      </c>
    </row>
    <row r="28" spans="18:24">
      <c r="R28">
        <f t="shared" ca="1" si="1"/>
        <v>1</v>
      </c>
      <c r="S28">
        <f>Metrics!B28</f>
        <v>89035</v>
      </c>
      <c r="T28">
        <f>'Metric Details'!C28</f>
        <v>89032</v>
      </c>
      <c r="U28">
        <f>IF('Metric Details'!F28=$H$1,0,IF('Metric Details'!F28=$H$2,1,2))</f>
        <v>0</v>
      </c>
      <c r="V28">
        <f>LEN('Metric Details'!H28)</f>
        <v>0</v>
      </c>
      <c r="W28">
        <f t="shared" si="2"/>
        <v>0</v>
      </c>
      <c r="X28">
        <f t="shared" ca="1" si="3"/>
        <v>31</v>
      </c>
    </row>
    <row r="29" spans="18:24">
      <c r="R29">
        <f t="shared" ca="1" si="1"/>
        <v>1</v>
      </c>
      <c r="S29">
        <f>Metrics!B29</f>
        <v>89036</v>
      </c>
      <c r="T29">
        <f>'Metric Details'!C29</f>
        <v>89033</v>
      </c>
      <c r="U29">
        <f>IF('Metric Details'!F29=$H$1,0,IF('Metric Details'!F29=$H$2,1,2))</f>
        <v>0</v>
      </c>
      <c r="V29">
        <f>LEN('Metric Details'!H29)</f>
        <v>0</v>
      </c>
      <c r="W29">
        <f t="shared" si="2"/>
        <v>0</v>
      </c>
      <c r="X29">
        <f t="shared" ca="1" si="3"/>
        <v>32</v>
      </c>
    </row>
    <row r="30" spans="18:24">
      <c r="R30">
        <f t="shared" ca="1" si="1"/>
        <v>0</v>
      </c>
      <c r="S30">
        <f>Metrics!B30</f>
        <v>89037</v>
      </c>
      <c r="T30">
        <f>'Metric Details'!C30</f>
        <v>89034</v>
      </c>
      <c r="U30">
        <f>IF('Metric Details'!F30=$H$1,0,IF('Metric Details'!F30=$H$2,1,2))</f>
        <v>0</v>
      </c>
      <c r="V30">
        <f>LEN('Metric Details'!H30)</f>
        <v>0</v>
      </c>
      <c r="W30">
        <f t="shared" si="2"/>
        <v>0</v>
      </c>
      <c r="X30">
        <f t="shared" ca="1" si="3"/>
        <v>33</v>
      </c>
    </row>
    <row r="31" spans="18:24">
      <c r="R31">
        <f t="shared" ca="1" si="1"/>
        <v>1</v>
      </c>
      <c r="S31">
        <f>Metrics!B31</f>
        <v>89039</v>
      </c>
      <c r="T31">
        <f>'Metric Details'!C31</f>
        <v>89035</v>
      </c>
      <c r="U31">
        <f>IF('Metric Details'!F31=$H$1,0,IF('Metric Details'!F31=$H$2,1,2))</f>
        <v>2</v>
      </c>
      <c r="V31">
        <f>LEN('Metric Details'!H31)</f>
        <v>0</v>
      </c>
      <c r="W31">
        <f t="shared" si="2"/>
        <v>2</v>
      </c>
      <c r="X31">
        <f t="shared" ca="1" si="3"/>
        <v>34</v>
      </c>
    </row>
    <row r="32" spans="18:24">
      <c r="R32">
        <f t="shared" ca="1" si="1"/>
        <v>1</v>
      </c>
      <c r="S32">
        <f>Metrics!B32</f>
        <v>89040</v>
      </c>
      <c r="T32">
        <f>'Metric Details'!C32</f>
        <v>89036</v>
      </c>
      <c r="U32">
        <f>IF('Metric Details'!F32=$H$1,0,IF('Metric Details'!F32=$H$2,1,2))</f>
        <v>2</v>
      </c>
      <c r="V32">
        <f>LEN('Metric Details'!H32)</f>
        <v>0</v>
      </c>
      <c r="W32">
        <f t="shared" si="2"/>
        <v>2</v>
      </c>
      <c r="X32">
        <f t="shared" ca="1" si="3"/>
        <v>35</v>
      </c>
    </row>
    <row r="33" spans="18:24">
      <c r="R33">
        <f t="shared" ca="1" si="1"/>
        <v>0</v>
      </c>
      <c r="S33">
        <f>Metrics!B33</f>
        <v>89042</v>
      </c>
      <c r="T33">
        <f>'Metric Details'!C33</f>
        <v>89037</v>
      </c>
      <c r="U33">
        <f>IF('Metric Details'!F33=$H$1,0,IF('Metric Details'!F33=$H$2,1,2))</f>
        <v>0</v>
      </c>
      <c r="V33">
        <f>LEN('Metric Details'!H33)</f>
        <v>0</v>
      </c>
      <c r="W33">
        <f t="shared" si="2"/>
        <v>0</v>
      </c>
      <c r="X33">
        <f t="shared" ca="1" si="3"/>
        <v>36</v>
      </c>
    </row>
    <row r="34" spans="18:24">
      <c r="R34">
        <f t="shared" ca="1" si="1"/>
        <v>0</v>
      </c>
      <c r="S34">
        <f>Metrics!B34</f>
        <v>89043</v>
      </c>
      <c r="T34">
        <f>'Metric Details'!C34</f>
        <v>89039</v>
      </c>
      <c r="U34">
        <f>IF('Metric Details'!F34=$H$1,0,IF('Metric Details'!F34=$H$2,1,2))</f>
        <v>1</v>
      </c>
      <c r="V34">
        <f>LEN('Metric Details'!H34)</f>
        <v>0</v>
      </c>
      <c r="W34">
        <f t="shared" si="2"/>
        <v>1</v>
      </c>
      <c r="X34">
        <f t="shared" ca="1" si="3"/>
        <v>37</v>
      </c>
    </row>
    <row r="35" spans="18:24">
      <c r="R35">
        <f t="shared" ca="1" si="1"/>
        <v>0</v>
      </c>
      <c r="S35">
        <f>Metrics!B35</f>
        <v>89044</v>
      </c>
      <c r="T35">
        <f>'Metric Details'!C35</f>
        <v>89040</v>
      </c>
      <c r="U35">
        <f>IF('Metric Details'!F35=$H$1,0,IF('Metric Details'!F35=$H$2,1,2))</f>
        <v>1</v>
      </c>
      <c r="V35">
        <f>LEN('Metric Details'!H35)</f>
        <v>0</v>
      </c>
      <c r="W35">
        <f t="shared" si="2"/>
        <v>1</v>
      </c>
      <c r="X35">
        <f t="shared" ca="1" si="3"/>
        <v>38</v>
      </c>
    </row>
    <row r="36" spans="18:24">
      <c r="R36">
        <f t="shared" ca="1" si="1"/>
        <v>1</v>
      </c>
      <c r="S36">
        <f>Metrics!B36</f>
        <v>89045</v>
      </c>
      <c r="T36">
        <f>'Metric Details'!C36</f>
        <v>89042</v>
      </c>
      <c r="U36">
        <f>IF('Metric Details'!F36=$H$1,0,IF('Metric Details'!F36=$H$2,1,2))</f>
        <v>0</v>
      </c>
      <c r="V36">
        <f>LEN('Metric Details'!H36)</f>
        <v>0</v>
      </c>
      <c r="W36">
        <f t="shared" si="2"/>
        <v>0</v>
      </c>
      <c r="X36">
        <f t="shared" ca="1" si="3"/>
        <v>39</v>
      </c>
    </row>
    <row r="37" spans="18:24">
      <c r="R37">
        <f t="shared" ca="1" si="1"/>
        <v>1</v>
      </c>
      <c r="S37">
        <f>Metrics!B37</f>
        <v>89046</v>
      </c>
      <c r="T37">
        <f>'Metric Details'!C37</f>
        <v>89043</v>
      </c>
      <c r="U37">
        <f>IF('Metric Details'!F37=$H$1,0,IF('Metric Details'!F37=$H$2,1,2))</f>
        <v>0</v>
      </c>
      <c r="V37">
        <f>LEN('Metric Details'!H37)</f>
        <v>0</v>
      </c>
      <c r="W37">
        <f t="shared" si="2"/>
        <v>0</v>
      </c>
      <c r="X37">
        <f t="shared" ca="1" si="3"/>
        <v>40</v>
      </c>
    </row>
    <row r="38" spans="18:24">
      <c r="R38">
        <f t="shared" ca="1" si="1"/>
        <v>1</v>
      </c>
      <c r="S38">
        <f>Metrics!B38</f>
        <v>89047</v>
      </c>
      <c r="T38">
        <f>'Metric Details'!C38</f>
        <v>89044</v>
      </c>
      <c r="U38">
        <f>IF('Metric Details'!F38=$H$1,0,IF('Metric Details'!F38=$H$2,1,2))</f>
        <v>0</v>
      </c>
      <c r="V38">
        <f>LEN('Metric Details'!H38)</f>
        <v>0</v>
      </c>
      <c r="W38">
        <f t="shared" si="2"/>
        <v>0</v>
      </c>
      <c r="X38">
        <f t="shared" ca="1" si="3"/>
        <v>41</v>
      </c>
    </row>
    <row r="39" spans="18:24">
      <c r="R39">
        <f t="shared" ca="1" si="1"/>
        <v>0</v>
      </c>
      <c r="S39">
        <f>Metrics!B39</f>
        <v>89048</v>
      </c>
      <c r="T39">
        <f>'Metric Details'!C39</f>
        <v>89045</v>
      </c>
      <c r="U39">
        <f>IF('Metric Details'!F39=$H$1,0,IF('Metric Details'!F39=$H$2,1,2))</f>
        <v>1</v>
      </c>
      <c r="V39">
        <f>LEN('Metric Details'!H39)</f>
        <v>0</v>
      </c>
      <c r="W39">
        <f t="shared" si="2"/>
        <v>1</v>
      </c>
      <c r="X39">
        <f t="shared" ca="1" si="3"/>
        <v>42</v>
      </c>
    </row>
    <row r="40" spans="18:24">
      <c r="R40">
        <f t="shared" ca="1" si="1"/>
        <v>1</v>
      </c>
      <c r="S40">
        <f>Metrics!B40</f>
        <v>89052</v>
      </c>
      <c r="T40">
        <f>'Metric Details'!C40</f>
        <v>89046</v>
      </c>
      <c r="U40">
        <f>IF('Metric Details'!F40=$H$1,0,IF('Metric Details'!F40=$H$2,1,2))</f>
        <v>1</v>
      </c>
      <c r="V40">
        <f>LEN('Metric Details'!H40)</f>
        <v>0</v>
      </c>
      <c r="W40">
        <f t="shared" si="2"/>
        <v>1</v>
      </c>
      <c r="X40">
        <f t="shared" ca="1" si="3"/>
        <v>43</v>
      </c>
    </row>
    <row r="41" spans="18:24">
      <c r="R41">
        <f t="shared" ca="1" si="1"/>
        <v>1</v>
      </c>
      <c r="S41">
        <f>Metrics!B41</f>
        <v>89053</v>
      </c>
      <c r="T41">
        <f>'Metric Details'!C41</f>
        <v>89047</v>
      </c>
      <c r="U41">
        <f>IF('Metric Details'!F41=$H$1,0,IF('Metric Details'!F41=$H$2,1,2))</f>
        <v>1</v>
      </c>
      <c r="V41">
        <f>LEN('Metric Details'!H41)</f>
        <v>0</v>
      </c>
      <c r="W41">
        <f t="shared" si="2"/>
        <v>1</v>
      </c>
      <c r="X41">
        <f t="shared" ca="1" si="3"/>
        <v>44</v>
      </c>
    </row>
    <row r="42" spans="18:24">
      <c r="R42">
        <f t="shared" ca="1" si="1"/>
        <v>1</v>
      </c>
      <c r="S42">
        <f>Metrics!B42</f>
        <v>89054</v>
      </c>
      <c r="T42">
        <f>'Metric Details'!C42</f>
        <v>89048</v>
      </c>
      <c r="U42">
        <f>IF('Metric Details'!F42=$H$1,0,IF('Metric Details'!F42=$H$2,1,2))</f>
        <v>0</v>
      </c>
      <c r="V42">
        <f>LEN('Metric Details'!H42)</f>
        <v>0</v>
      </c>
      <c r="W42">
        <f t="shared" si="2"/>
        <v>0</v>
      </c>
      <c r="X42">
        <f t="shared" ca="1" si="3"/>
        <v>45</v>
      </c>
    </row>
    <row r="43" spans="18:24">
      <c r="R43">
        <f t="shared" ca="1" si="1"/>
        <v>1</v>
      </c>
      <c r="S43">
        <f>Metrics!B43</f>
        <v>89055</v>
      </c>
      <c r="T43">
        <f>'Metric Details'!C43</f>
        <v>89052</v>
      </c>
      <c r="U43">
        <f>IF('Metric Details'!F43=$H$1,0,IF('Metric Details'!F43=$H$2,1,2))</f>
        <v>2</v>
      </c>
      <c r="V43">
        <f>LEN('Metric Details'!H43)</f>
        <v>0</v>
      </c>
      <c r="W43">
        <f t="shared" si="2"/>
        <v>2</v>
      </c>
      <c r="X43">
        <f t="shared" ca="1" si="3"/>
        <v>46</v>
      </c>
    </row>
    <row r="44" spans="18:24">
      <c r="R44">
        <f t="shared" ca="1" si="1"/>
        <v>1</v>
      </c>
      <c r="S44">
        <f>Metrics!B44</f>
        <v>89056</v>
      </c>
      <c r="T44">
        <f>'Metric Details'!C44</f>
        <v>89053</v>
      </c>
      <c r="U44">
        <f>IF('Metric Details'!F44=$H$1,0,IF('Metric Details'!F44=$H$2,1,2))</f>
        <v>2</v>
      </c>
      <c r="V44">
        <f>LEN('Metric Details'!H44)</f>
        <v>0</v>
      </c>
      <c r="W44">
        <f t="shared" si="2"/>
        <v>2</v>
      </c>
      <c r="X44">
        <f t="shared" ca="1" si="3"/>
        <v>47</v>
      </c>
    </row>
    <row r="45" spans="18:24">
      <c r="R45">
        <f t="shared" ca="1" si="1"/>
        <v>1</v>
      </c>
      <c r="S45">
        <f>Metrics!B45</f>
        <v>89057</v>
      </c>
      <c r="T45">
        <f>'Metric Details'!C45</f>
        <v>89054</v>
      </c>
      <c r="U45">
        <f>IF('Metric Details'!F45=$H$1,0,IF('Metric Details'!F45=$H$2,1,2))</f>
        <v>2</v>
      </c>
      <c r="V45">
        <f>LEN('Metric Details'!H45)</f>
        <v>0</v>
      </c>
      <c r="W45">
        <f t="shared" si="2"/>
        <v>2</v>
      </c>
      <c r="X45">
        <f t="shared" ca="1" si="3"/>
        <v>48</v>
      </c>
    </row>
    <row r="46" spans="18:24">
      <c r="R46">
        <f t="shared" ca="1" si="1"/>
        <v>0</v>
      </c>
      <c r="S46">
        <f>Metrics!B46</f>
        <v>89058</v>
      </c>
      <c r="T46">
        <f>'Metric Details'!C46</f>
        <v>89055</v>
      </c>
      <c r="U46">
        <f>IF('Metric Details'!F46=$H$1,0,IF('Metric Details'!F46=$H$2,1,2))</f>
        <v>1</v>
      </c>
      <c r="V46">
        <f>LEN('Metric Details'!H46)</f>
        <v>0</v>
      </c>
      <c r="W46">
        <f t="shared" si="2"/>
        <v>1</v>
      </c>
      <c r="X46">
        <f t="shared" ca="1" si="3"/>
        <v>49</v>
      </c>
    </row>
    <row r="47" spans="18:24">
      <c r="R47">
        <f t="shared" ca="1" si="1"/>
        <v>0</v>
      </c>
      <c r="S47">
        <f>Metrics!B47</f>
        <v>89059</v>
      </c>
      <c r="T47">
        <f>'Metric Details'!C47</f>
        <v>89056</v>
      </c>
      <c r="U47">
        <f>IF('Metric Details'!F47=$H$1,0,IF('Metric Details'!F47=$H$2,1,2))</f>
        <v>1</v>
      </c>
      <c r="V47">
        <f>LEN('Metric Details'!H47)</f>
        <v>0</v>
      </c>
      <c r="W47">
        <f t="shared" si="2"/>
        <v>1</v>
      </c>
      <c r="X47">
        <f t="shared" ca="1" si="3"/>
        <v>50</v>
      </c>
    </row>
    <row r="48" spans="18:24">
      <c r="R48">
        <f t="shared" ca="1" si="1"/>
        <v>1</v>
      </c>
      <c r="S48">
        <f>Metrics!B48</f>
        <v>89060</v>
      </c>
      <c r="T48">
        <f>'Metric Details'!C48</f>
        <v>89057</v>
      </c>
      <c r="U48">
        <f>IF('Metric Details'!F48=$H$1,0,IF('Metric Details'!F48=$H$2,1,2))</f>
        <v>2</v>
      </c>
      <c r="V48">
        <f>LEN('Metric Details'!H48)</f>
        <v>0</v>
      </c>
      <c r="W48">
        <f t="shared" si="2"/>
        <v>2</v>
      </c>
      <c r="X48">
        <f t="shared" ca="1" si="3"/>
        <v>51</v>
      </c>
    </row>
    <row r="49" spans="18:24">
      <c r="R49">
        <f t="shared" ca="1" si="1"/>
        <v>0</v>
      </c>
      <c r="S49">
        <f>Metrics!B49</f>
        <v>89061</v>
      </c>
      <c r="T49">
        <f>'Metric Details'!C49</f>
        <v>89058</v>
      </c>
      <c r="U49">
        <f>IF('Metric Details'!F49=$H$1,0,IF('Metric Details'!F49=$H$2,1,2))</f>
        <v>0</v>
      </c>
      <c r="V49">
        <f>LEN('Metric Details'!H49)</f>
        <v>0</v>
      </c>
      <c r="W49">
        <f t="shared" si="2"/>
        <v>0</v>
      </c>
      <c r="X49">
        <f t="shared" ca="1" si="3"/>
        <v>52</v>
      </c>
    </row>
    <row r="50" spans="18:24">
      <c r="R50">
        <f t="shared" ca="1" si="1"/>
        <v>0</v>
      </c>
      <c r="S50">
        <f>Metrics!B50</f>
        <v>89062</v>
      </c>
      <c r="T50">
        <f>'Metric Details'!C50</f>
        <v>89059</v>
      </c>
      <c r="U50">
        <f>IF('Metric Details'!F50=$H$1,0,IF('Metric Details'!F50=$H$2,1,2))</f>
        <v>0</v>
      </c>
      <c r="V50">
        <f>LEN('Metric Details'!H50)</f>
        <v>0</v>
      </c>
      <c r="W50">
        <f t="shared" si="2"/>
        <v>0</v>
      </c>
      <c r="X50">
        <f t="shared" ca="1" si="3"/>
        <v>53</v>
      </c>
    </row>
    <row r="51" spans="18:24">
      <c r="R51">
        <f t="shared" ca="1" si="1"/>
        <v>0</v>
      </c>
      <c r="S51">
        <f>Metrics!B51</f>
        <v>89063</v>
      </c>
      <c r="T51">
        <f>'Metric Details'!C51</f>
        <v>89060</v>
      </c>
      <c r="U51">
        <f>IF('Metric Details'!F51=$H$1,0,IF('Metric Details'!F51=$H$2,1,2))</f>
        <v>1</v>
      </c>
      <c r="V51">
        <f>LEN('Metric Details'!H51)</f>
        <v>0</v>
      </c>
      <c r="W51">
        <f t="shared" si="2"/>
        <v>1</v>
      </c>
      <c r="X51">
        <f t="shared" ca="1" si="3"/>
        <v>54</v>
      </c>
    </row>
    <row r="52" spans="18:24">
      <c r="R52">
        <f t="shared" ca="1" si="1"/>
        <v>0</v>
      </c>
      <c r="S52">
        <f>Metrics!B52</f>
        <v>89064</v>
      </c>
      <c r="T52">
        <f>'Metric Details'!C52</f>
        <v>89061</v>
      </c>
      <c r="U52">
        <f>IF('Metric Details'!F52=$H$1,0,IF('Metric Details'!F52=$H$2,1,2))</f>
        <v>0</v>
      </c>
      <c r="V52">
        <f>LEN('Metric Details'!H52)</f>
        <v>0</v>
      </c>
      <c r="W52">
        <f t="shared" si="2"/>
        <v>0</v>
      </c>
      <c r="X52">
        <f t="shared" ca="1" si="3"/>
        <v>55</v>
      </c>
    </row>
    <row r="53" spans="18:24">
      <c r="R53">
        <f t="shared" ca="1" si="1"/>
        <v>0</v>
      </c>
      <c r="S53">
        <f>Metrics!B53</f>
        <v>89065</v>
      </c>
      <c r="T53">
        <f>'Metric Details'!C53</f>
        <v>89062</v>
      </c>
      <c r="U53">
        <f>IF('Metric Details'!F53=$H$1,0,IF('Metric Details'!F53=$H$2,1,2))</f>
        <v>0</v>
      </c>
      <c r="V53">
        <f>LEN('Metric Details'!H53)</f>
        <v>0</v>
      </c>
      <c r="W53">
        <f t="shared" si="2"/>
        <v>0</v>
      </c>
      <c r="X53">
        <f t="shared" ca="1" si="3"/>
        <v>56</v>
      </c>
    </row>
    <row r="54" spans="18:24">
      <c r="R54">
        <f t="shared" ca="1" si="1"/>
        <v>0</v>
      </c>
      <c r="S54">
        <f>Metrics!B54</f>
        <v>89066</v>
      </c>
      <c r="T54">
        <f>'Metric Details'!C54</f>
        <v>89063</v>
      </c>
      <c r="U54">
        <f>IF('Metric Details'!F54=$H$1,0,IF('Metric Details'!F54=$H$2,1,2))</f>
        <v>0</v>
      </c>
      <c r="V54">
        <f>LEN('Metric Details'!H54)</f>
        <v>0</v>
      </c>
      <c r="W54">
        <f t="shared" si="2"/>
        <v>0</v>
      </c>
      <c r="X54">
        <f t="shared" ca="1" si="3"/>
        <v>57</v>
      </c>
    </row>
    <row r="55" spans="18:24">
      <c r="R55">
        <f t="shared" ca="1" si="1"/>
        <v>0</v>
      </c>
      <c r="S55">
        <f>Metrics!B55</f>
        <v>89067</v>
      </c>
      <c r="T55">
        <f>'Metric Details'!C55</f>
        <v>89064</v>
      </c>
      <c r="U55">
        <f>IF('Metric Details'!F55=$H$1,0,IF('Metric Details'!F55=$H$2,1,2))</f>
        <v>0</v>
      </c>
      <c r="V55">
        <f>LEN('Metric Details'!H55)</f>
        <v>0</v>
      </c>
      <c r="W55">
        <f t="shared" si="2"/>
        <v>0</v>
      </c>
      <c r="X55">
        <f t="shared" ca="1" si="3"/>
        <v>58</v>
      </c>
    </row>
    <row r="56" spans="18:24">
      <c r="R56">
        <f t="shared" ca="1" si="1"/>
        <v>0</v>
      </c>
      <c r="S56">
        <f>Metrics!B56</f>
        <v>89068</v>
      </c>
      <c r="T56">
        <f>'Metric Details'!C56</f>
        <v>89065</v>
      </c>
      <c r="U56">
        <f>IF('Metric Details'!F56=$H$1,0,IF('Metric Details'!F56=$H$2,1,2))</f>
        <v>0</v>
      </c>
      <c r="V56">
        <f>LEN('Metric Details'!H56)</f>
        <v>0</v>
      </c>
      <c r="W56">
        <f t="shared" si="2"/>
        <v>0</v>
      </c>
      <c r="X56">
        <f t="shared" ca="1" si="3"/>
        <v>59</v>
      </c>
    </row>
    <row r="57" spans="18:24">
      <c r="R57">
        <f t="shared" ca="1" si="1"/>
        <v>0</v>
      </c>
      <c r="S57">
        <f>Metrics!B57</f>
        <v>89069</v>
      </c>
      <c r="T57">
        <f>'Metric Details'!C57</f>
        <v>89066</v>
      </c>
      <c r="U57">
        <f>IF('Metric Details'!F57=$H$1,0,IF('Metric Details'!F57=$H$2,1,2))</f>
        <v>0</v>
      </c>
      <c r="V57">
        <f>LEN('Metric Details'!H57)</f>
        <v>0</v>
      </c>
      <c r="W57">
        <f t="shared" si="2"/>
        <v>0</v>
      </c>
      <c r="X57">
        <f t="shared" ca="1" si="3"/>
        <v>60</v>
      </c>
    </row>
    <row r="58" spans="18:24">
      <c r="R58">
        <f t="shared" ca="1" si="1"/>
        <v>0</v>
      </c>
      <c r="S58">
        <f>Metrics!B58</f>
        <v>89070</v>
      </c>
      <c r="T58">
        <f>'Metric Details'!C58</f>
        <v>89067</v>
      </c>
      <c r="U58">
        <f>IF('Metric Details'!F58=$H$1,0,IF('Metric Details'!F58=$H$2,1,2))</f>
        <v>0</v>
      </c>
      <c r="V58">
        <f>LEN('Metric Details'!H58)</f>
        <v>0</v>
      </c>
      <c r="W58">
        <f t="shared" si="2"/>
        <v>0</v>
      </c>
      <c r="X58">
        <f t="shared" ca="1" si="3"/>
        <v>61</v>
      </c>
    </row>
    <row r="59" spans="18:24">
      <c r="R59">
        <f t="shared" ca="1" si="1"/>
        <v>0</v>
      </c>
      <c r="S59">
        <f>Metrics!B59</f>
        <v>89071</v>
      </c>
      <c r="T59">
        <f>'Metric Details'!C59</f>
        <v>89068</v>
      </c>
      <c r="U59">
        <f>IF('Metric Details'!F59=$H$1,0,IF('Metric Details'!F59=$H$2,1,2))</f>
        <v>0</v>
      </c>
      <c r="V59">
        <f>LEN('Metric Details'!H59)</f>
        <v>0</v>
      </c>
      <c r="W59">
        <f t="shared" si="2"/>
        <v>0</v>
      </c>
      <c r="X59">
        <f t="shared" ca="1" si="3"/>
        <v>62</v>
      </c>
    </row>
    <row r="60" spans="18:24">
      <c r="R60">
        <f t="shared" ca="1" si="1"/>
        <v>1</v>
      </c>
      <c r="S60">
        <f>Metrics!B60</f>
        <v>89072</v>
      </c>
      <c r="T60">
        <f>'Metric Details'!C60</f>
        <v>89069</v>
      </c>
      <c r="U60">
        <f>IF('Metric Details'!F60=$H$1,0,IF('Metric Details'!F60=$H$2,1,2))</f>
        <v>0</v>
      </c>
      <c r="V60">
        <f>LEN('Metric Details'!H60)</f>
        <v>0</v>
      </c>
      <c r="W60">
        <f t="shared" si="2"/>
        <v>0</v>
      </c>
      <c r="X60">
        <f t="shared" ca="1" si="3"/>
        <v>63</v>
      </c>
    </row>
    <row r="61" spans="18:24">
      <c r="R61">
        <f t="shared" ca="1" si="1"/>
        <v>1</v>
      </c>
      <c r="S61">
        <f>Metrics!B61</f>
        <v>89073</v>
      </c>
      <c r="T61">
        <f>'Metric Details'!C61</f>
        <v>89070</v>
      </c>
      <c r="U61">
        <f>IF('Metric Details'!F61=$H$1,0,IF('Metric Details'!F61=$H$2,1,2))</f>
        <v>0</v>
      </c>
      <c r="V61">
        <f>LEN('Metric Details'!H61)</f>
        <v>0</v>
      </c>
      <c r="W61">
        <f t="shared" si="2"/>
        <v>0</v>
      </c>
      <c r="X61">
        <f t="shared" ca="1" si="3"/>
        <v>64</v>
      </c>
    </row>
    <row r="62" spans="18:24">
      <c r="R62">
        <f t="shared" ca="1" si="1"/>
        <v>1</v>
      </c>
      <c r="S62">
        <f>Metrics!B62</f>
        <v>89074</v>
      </c>
      <c r="T62">
        <f>'Metric Details'!C62</f>
        <v>89071</v>
      </c>
      <c r="U62">
        <f>IF('Metric Details'!F62=$H$1,0,IF('Metric Details'!F62=$H$2,1,2))</f>
        <v>0</v>
      </c>
      <c r="V62">
        <f>LEN('Metric Details'!H62)</f>
        <v>0</v>
      </c>
      <c r="W62">
        <f t="shared" si="2"/>
        <v>0</v>
      </c>
      <c r="X62">
        <f t="shared" ca="1" si="3"/>
        <v>65</v>
      </c>
    </row>
    <row r="63" spans="18:24">
      <c r="R63">
        <f t="shared" ca="1" si="1"/>
        <v>1</v>
      </c>
      <c r="S63">
        <f>Metrics!B63</f>
        <v>89075</v>
      </c>
      <c r="T63">
        <f>'Metric Details'!C63</f>
        <v>89072</v>
      </c>
      <c r="U63">
        <f>IF('Metric Details'!F63=$H$1,0,IF('Metric Details'!F63=$H$2,1,2))</f>
        <v>1</v>
      </c>
      <c r="V63">
        <f>LEN('Metric Details'!H63)</f>
        <v>0</v>
      </c>
      <c r="W63">
        <f t="shared" si="2"/>
        <v>1</v>
      </c>
      <c r="X63">
        <f t="shared" ca="1" si="3"/>
        <v>66</v>
      </c>
    </row>
    <row r="64" spans="18:24">
      <c r="R64">
        <f t="shared" ca="1" si="1"/>
        <v>1</v>
      </c>
      <c r="S64">
        <f>Metrics!B64</f>
        <v>89076</v>
      </c>
      <c r="T64">
        <f>'Metric Details'!C64</f>
        <v>89073</v>
      </c>
      <c r="U64">
        <f>IF('Metric Details'!F64=$H$1,0,IF('Metric Details'!F64=$H$2,1,2))</f>
        <v>1</v>
      </c>
      <c r="V64">
        <f>LEN('Metric Details'!H64)</f>
        <v>0</v>
      </c>
      <c r="W64">
        <f t="shared" si="2"/>
        <v>1</v>
      </c>
      <c r="X64">
        <f t="shared" ca="1" si="3"/>
        <v>67</v>
      </c>
    </row>
    <row r="65" spans="18:24">
      <c r="R65">
        <f t="shared" ca="1" si="1"/>
        <v>1</v>
      </c>
      <c r="S65">
        <f>Metrics!B65</f>
        <v>89077</v>
      </c>
      <c r="T65">
        <f>'Metric Details'!C65</f>
        <v>89074</v>
      </c>
      <c r="U65">
        <f>IF('Metric Details'!F65=$H$1,0,IF('Metric Details'!F65=$H$2,1,2))</f>
        <v>1</v>
      </c>
      <c r="V65">
        <f>LEN('Metric Details'!H65)</f>
        <v>0</v>
      </c>
      <c r="W65">
        <f t="shared" si="2"/>
        <v>1</v>
      </c>
      <c r="X65">
        <f t="shared" ca="1" si="3"/>
        <v>68</v>
      </c>
    </row>
    <row r="66" spans="18:24">
      <c r="R66">
        <f t="shared" ca="1" si="1"/>
        <v>1</v>
      </c>
      <c r="S66">
        <f>Metrics!B66</f>
        <v>89094</v>
      </c>
      <c r="T66">
        <f>'Metric Details'!C66</f>
        <v>89075</v>
      </c>
      <c r="U66">
        <f>IF('Metric Details'!F66=$H$1,0,IF('Metric Details'!F66=$H$2,1,2))</f>
        <v>2</v>
      </c>
      <c r="V66">
        <f>LEN('Metric Details'!H66)</f>
        <v>0</v>
      </c>
      <c r="W66">
        <f t="shared" si="2"/>
        <v>2</v>
      </c>
      <c r="X66">
        <f t="shared" ca="1" si="3"/>
        <v>69</v>
      </c>
    </row>
    <row r="67" spans="18:24">
      <c r="R67">
        <f t="shared" ref="R67:R130" ca="1" si="4">IF(INDEX(W:W,X67)&gt;0,1,0)</f>
        <v>1</v>
      </c>
      <c r="S67">
        <f>Metrics!B67</f>
        <v>89102</v>
      </c>
      <c r="T67">
        <f>'Metric Details'!C67</f>
        <v>89076</v>
      </c>
      <c r="U67">
        <f>IF('Metric Details'!F67=$H$1,0,IF('Metric Details'!F67=$H$2,1,2))</f>
        <v>1</v>
      </c>
      <c r="V67">
        <f>LEN('Metric Details'!H67)</f>
        <v>0</v>
      </c>
      <c r="W67">
        <f t="shared" ref="W67:W130" si="5">IF(V67&gt;0,2,U67)</f>
        <v>1</v>
      </c>
      <c r="X67">
        <f t="shared" ca="1" si="3"/>
        <v>70</v>
      </c>
    </row>
    <row r="68" spans="18:24">
      <c r="R68">
        <f t="shared" ca="1" si="4"/>
        <v>0</v>
      </c>
      <c r="S68">
        <f>Metrics!B68</f>
        <v>89111</v>
      </c>
      <c r="T68">
        <f>'Metric Details'!C68</f>
        <v>89077</v>
      </c>
      <c r="U68">
        <f>IF('Metric Details'!F68=$H$1,0,IF('Metric Details'!F68=$H$2,1,2))</f>
        <v>1</v>
      </c>
      <c r="V68">
        <f>LEN('Metric Details'!H68)</f>
        <v>0</v>
      </c>
      <c r="W68">
        <f t="shared" si="5"/>
        <v>1</v>
      </c>
      <c r="X68">
        <f t="shared" ca="1" si="3"/>
        <v>71</v>
      </c>
    </row>
    <row r="69" spans="18:24">
      <c r="R69">
        <f t="shared" ca="1" si="4"/>
        <v>0</v>
      </c>
      <c r="S69">
        <f>Metrics!B69</f>
        <v>89112</v>
      </c>
      <c r="T69">
        <f>'Metric Details'!C69</f>
        <v>89094</v>
      </c>
      <c r="U69">
        <f>IF('Metric Details'!F69=$H$1,0,IF('Metric Details'!F69=$H$2,1,2))</f>
        <v>1</v>
      </c>
      <c r="V69">
        <f>LEN('Metric Details'!H69)</f>
        <v>0</v>
      </c>
      <c r="W69">
        <f t="shared" si="5"/>
        <v>1</v>
      </c>
      <c r="X69">
        <f t="shared" ca="1" si="3"/>
        <v>72</v>
      </c>
    </row>
    <row r="70" spans="18:24">
      <c r="R70">
        <f t="shared" ca="1" si="4"/>
        <v>0</v>
      </c>
      <c r="S70">
        <f>Metrics!B70</f>
        <v>89113</v>
      </c>
      <c r="T70">
        <f>'Metric Details'!C70</f>
        <v>89102</v>
      </c>
      <c r="U70">
        <f>IF('Metric Details'!F70=$H$1,0,IF('Metric Details'!F70=$H$2,1,2))</f>
        <v>1</v>
      </c>
      <c r="V70">
        <f>LEN('Metric Details'!H70)</f>
        <v>0</v>
      </c>
      <c r="W70">
        <f t="shared" si="5"/>
        <v>1</v>
      </c>
      <c r="X70">
        <f t="shared" ref="X70:X133" ca="1" si="6">ROW(INDIRECT(ADDRESS(MATCH(S70,T:T,0),COLUMN(T70),1)))</f>
        <v>73</v>
      </c>
    </row>
    <row r="71" spans="18:24">
      <c r="R71">
        <f t="shared" ca="1" si="4"/>
        <v>0</v>
      </c>
      <c r="S71">
        <f>Metrics!B71</f>
        <v>89114</v>
      </c>
      <c r="T71">
        <f>'Metric Details'!C71</f>
        <v>89111</v>
      </c>
      <c r="U71">
        <f>IF('Metric Details'!F71=$H$1,0,IF('Metric Details'!F71=$H$2,1,2))</f>
        <v>0</v>
      </c>
      <c r="V71">
        <f>LEN('Metric Details'!H71)</f>
        <v>0</v>
      </c>
      <c r="W71">
        <f t="shared" si="5"/>
        <v>0</v>
      </c>
      <c r="X71">
        <f t="shared" ca="1" si="6"/>
        <v>74</v>
      </c>
    </row>
    <row r="72" spans="18:24">
      <c r="R72">
        <f t="shared" ca="1" si="4"/>
        <v>0</v>
      </c>
      <c r="S72">
        <f>Metrics!B72</f>
        <v>89115</v>
      </c>
      <c r="T72">
        <f>'Metric Details'!C72</f>
        <v>89112</v>
      </c>
      <c r="U72">
        <f>IF('Metric Details'!F72=$H$1,0,IF('Metric Details'!F72=$H$2,1,2))</f>
        <v>0</v>
      </c>
      <c r="V72">
        <f>LEN('Metric Details'!H72)</f>
        <v>0</v>
      </c>
      <c r="W72">
        <f t="shared" si="5"/>
        <v>0</v>
      </c>
      <c r="X72">
        <f t="shared" ca="1" si="6"/>
        <v>75</v>
      </c>
    </row>
    <row r="73" spans="18:24">
      <c r="R73">
        <f t="shared" ca="1" si="4"/>
        <v>0</v>
      </c>
      <c r="S73">
        <f>Metrics!B73</f>
        <v>89116</v>
      </c>
      <c r="T73">
        <f>'Metric Details'!C73</f>
        <v>89113</v>
      </c>
      <c r="U73">
        <f>IF('Metric Details'!F73=$H$1,0,IF('Metric Details'!F73=$H$2,1,2))</f>
        <v>0</v>
      </c>
      <c r="V73">
        <f>LEN('Metric Details'!H73)</f>
        <v>0</v>
      </c>
      <c r="W73">
        <f t="shared" si="5"/>
        <v>0</v>
      </c>
      <c r="X73">
        <f t="shared" ca="1" si="6"/>
        <v>76</v>
      </c>
    </row>
    <row r="74" spans="18:24">
      <c r="R74">
        <f t="shared" ca="1" si="4"/>
        <v>0</v>
      </c>
      <c r="S74">
        <f>Metrics!B74</f>
        <v>89117</v>
      </c>
      <c r="T74">
        <f>'Metric Details'!C74</f>
        <v>89114</v>
      </c>
      <c r="U74">
        <f>IF('Metric Details'!F74=$H$1,0,IF('Metric Details'!F74=$H$2,1,2))</f>
        <v>0</v>
      </c>
      <c r="V74">
        <f>LEN('Metric Details'!H74)</f>
        <v>0</v>
      </c>
      <c r="W74">
        <f t="shared" si="5"/>
        <v>0</v>
      </c>
      <c r="X74">
        <f t="shared" ca="1" si="6"/>
        <v>77</v>
      </c>
    </row>
    <row r="75" spans="18:24">
      <c r="R75">
        <f t="shared" ca="1" si="4"/>
        <v>1</v>
      </c>
      <c r="S75">
        <f>Metrics!B75</f>
        <v>89118</v>
      </c>
      <c r="T75">
        <f>'Metric Details'!C75</f>
        <v>89115</v>
      </c>
      <c r="U75">
        <f>IF('Metric Details'!F75=$H$1,0,IF('Metric Details'!F75=$H$2,1,2))</f>
        <v>0</v>
      </c>
      <c r="V75">
        <f>LEN('Metric Details'!H75)</f>
        <v>0</v>
      </c>
      <c r="W75">
        <f t="shared" si="5"/>
        <v>0</v>
      </c>
      <c r="X75">
        <f t="shared" ca="1" si="6"/>
        <v>78</v>
      </c>
    </row>
    <row r="76" spans="18:24">
      <c r="R76">
        <f t="shared" ca="1" si="4"/>
        <v>1</v>
      </c>
      <c r="S76">
        <f>Metrics!B76</f>
        <v>89119</v>
      </c>
      <c r="T76">
        <f>'Metric Details'!C76</f>
        <v>89116</v>
      </c>
      <c r="U76">
        <f>IF('Metric Details'!F76=$H$1,0,IF('Metric Details'!F76=$H$2,1,2))</f>
        <v>0</v>
      </c>
      <c r="V76">
        <f>LEN('Metric Details'!H76)</f>
        <v>0</v>
      </c>
      <c r="W76">
        <f t="shared" si="5"/>
        <v>0</v>
      </c>
      <c r="X76">
        <f t="shared" ca="1" si="6"/>
        <v>79</v>
      </c>
    </row>
    <row r="77" spans="18:24">
      <c r="R77">
        <f t="shared" ca="1" si="4"/>
        <v>0</v>
      </c>
      <c r="S77">
        <f>Metrics!B77</f>
        <v>89120</v>
      </c>
      <c r="T77">
        <f>'Metric Details'!C77</f>
        <v>89117</v>
      </c>
      <c r="U77">
        <f>IF('Metric Details'!F77=$H$1,0,IF('Metric Details'!F77=$H$2,1,2))</f>
        <v>0</v>
      </c>
      <c r="V77">
        <f>LEN('Metric Details'!H77)</f>
        <v>0</v>
      </c>
      <c r="W77">
        <f t="shared" si="5"/>
        <v>0</v>
      </c>
      <c r="X77">
        <f t="shared" ca="1" si="6"/>
        <v>80</v>
      </c>
    </row>
    <row r="78" spans="18:24">
      <c r="R78">
        <f t="shared" ca="1" si="4"/>
        <v>0</v>
      </c>
      <c r="S78">
        <f>Metrics!B78</f>
        <v>89121</v>
      </c>
      <c r="T78">
        <f>'Metric Details'!C78</f>
        <v>89118</v>
      </c>
      <c r="U78">
        <f>IF('Metric Details'!F78=$H$1,0,IF('Metric Details'!F78=$H$2,1,2))</f>
        <v>1</v>
      </c>
      <c r="V78">
        <f>LEN('Metric Details'!H78)</f>
        <v>0</v>
      </c>
      <c r="W78">
        <f t="shared" si="5"/>
        <v>1</v>
      </c>
      <c r="X78">
        <f t="shared" ca="1" si="6"/>
        <v>81</v>
      </c>
    </row>
    <row r="79" spans="18:24">
      <c r="R79">
        <f t="shared" ca="1" si="4"/>
        <v>1</v>
      </c>
      <c r="S79">
        <f>Metrics!B79</f>
        <v>0</v>
      </c>
      <c r="T79">
        <f>'Metric Details'!C79</f>
        <v>89119</v>
      </c>
      <c r="U79">
        <f>IF('Metric Details'!F79=$H$1,0,IF('Metric Details'!F79=$H$2,1,2))</f>
        <v>1</v>
      </c>
      <c r="V79">
        <f>LEN('Metric Details'!H79)</f>
        <v>0</v>
      </c>
      <c r="W79">
        <f t="shared" si="5"/>
        <v>1</v>
      </c>
      <c r="X79">
        <f t="shared" ca="1" si="6"/>
        <v>82</v>
      </c>
    </row>
    <row r="80" spans="18:24">
      <c r="R80">
        <f t="shared" ca="1" si="4"/>
        <v>1</v>
      </c>
      <c r="S80">
        <f>Metrics!B80</f>
        <v>0</v>
      </c>
      <c r="T80">
        <f>'Metric Details'!C80</f>
        <v>89120</v>
      </c>
      <c r="U80">
        <f>IF('Metric Details'!F80=$H$1,0,IF('Metric Details'!F80=$H$2,1,2))</f>
        <v>0</v>
      </c>
      <c r="V80">
        <f>LEN('Metric Details'!H80)</f>
        <v>0</v>
      </c>
      <c r="W80">
        <f t="shared" si="5"/>
        <v>0</v>
      </c>
      <c r="X80">
        <f t="shared" ca="1" si="6"/>
        <v>82</v>
      </c>
    </row>
    <row r="81" spans="18:24">
      <c r="R81">
        <f t="shared" ca="1" si="4"/>
        <v>1</v>
      </c>
      <c r="S81">
        <f>Metrics!B81</f>
        <v>0</v>
      </c>
      <c r="T81">
        <f>'Metric Details'!C81</f>
        <v>89121</v>
      </c>
      <c r="U81">
        <f>IF('Metric Details'!F81=$H$1,0,IF('Metric Details'!F81=$H$2,1,2))</f>
        <v>0</v>
      </c>
      <c r="V81">
        <f>LEN('Metric Details'!H81)</f>
        <v>0</v>
      </c>
      <c r="W81">
        <f t="shared" si="5"/>
        <v>0</v>
      </c>
      <c r="X81">
        <f t="shared" ca="1" si="6"/>
        <v>82</v>
      </c>
    </row>
    <row r="82" spans="18:24">
      <c r="R82">
        <f t="shared" ca="1" si="4"/>
        <v>1</v>
      </c>
      <c r="S82">
        <f>Metrics!B82</f>
        <v>0</v>
      </c>
      <c r="T82">
        <f>'Metric Details'!C82</f>
        <v>0</v>
      </c>
      <c r="U82">
        <f>IF('Metric Details'!F82=$H$1,0,IF('Metric Details'!F82=$H$2,1,2))</f>
        <v>2</v>
      </c>
      <c r="V82">
        <f>LEN('Metric Details'!H82)</f>
        <v>0</v>
      </c>
      <c r="W82">
        <f t="shared" si="5"/>
        <v>2</v>
      </c>
      <c r="X82">
        <f t="shared" ca="1" si="6"/>
        <v>82</v>
      </c>
    </row>
    <row r="83" spans="18:24">
      <c r="R83">
        <f t="shared" ca="1" si="4"/>
        <v>1</v>
      </c>
      <c r="S83">
        <f>Metrics!B83</f>
        <v>0</v>
      </c>
      <c r="T83">
        <f>'Metric Details'!C83</f>
        <v>0</v>
      </c>
      <c r="U83">
        <f>IF('Metric Details'!F83=$H$1,0,IF('Metric Details'!F83=$H$2,1,2))</f>
        <v>2</v>
      </c>
      <c r="V83">
        <f>LEN('Metric Details'!H83)</f>
        <v>0</v>
      </c>
      <c r="W83">
        <f t="shared" si="5"/>
        <v>2</v>
      </c>
      <c r="X83">
        <f t="shared" ca="1" si="6"/>
        <v>82</v>
      </c>
    </row>
    <row r="84" spans="18:24">
      <c r="R84">
        <f t="shared" ca="1" si="4"/>
        <v>1</v>
      </c>
      <c r="S84">
        <f>Metrics!B84</f>
        <v>0</v>
      </c>
      <c r="T84">
        <f>'Metric Details'!C84</f>
        <v>0</v>
      </c>
      <c r="U84">
        <f>IF('Metric Details'!F84=$H$1,0,IF('Metric Details'!F84=$H$2,1,2))</f>
        <v>2</v>
      </c>
      <c r="V84">
        <f>LEN('Metric Details'!H84)</f>
        <v>0</v>
      </c>
      <c r="W84">
        <f t="shared" si="5"/>
        <v>2</v>
      </c>
      <c r="X84">
        <f t="shared" ca="1" si="6"/>
        <v>82</v>
      </c>
    </row>
    <row r="85" spans="18:24">
      <c r="R85">
        <f t="shared" ca="1" si="4"/>
        <v>1</v>
      </c>
      <c r="S85">
        <f>Metrics!B85</f>
        <v>0</v>
      </c>
      <c r="T85">
        <f>'Metric Details'!C85</f>
        <v>0</v>
      </c>
      <c r="U85">
        <f>IF('Metric Details'!F85=$H$1,0,IF('Metric Details'!F85=$H$2,1,2))</f>
        <v>2</v>
      </c>
      <c r="V85">
        <f>LEN('Metric Details'!H85)</f>
        <v>0</v>
      </c>
      <c r="W85">
        <f t="shared" si="5"/>
        <v>2</v>
      </c>
      <c r="X85">
        <f t="shared" ca="1" si="6"/>
        <v>82</v>
      </c>
    </row>
    <row r="86" spans="18:24">
      <c r="R86">
        <f t="shared" ca="1" si="4"/>
        <v>1</v>
      </c>
      <c r="S86">
        <f>Metrics!B86</f>
        <v>0</v>
      </c>
      <c r="T86">
        <f>'Metric Details'!C86</f>
        <v>0</v>
      </c>
      <c r="U86">
        <f>IF('Metric Details'!F86=$H$1,0,IF('Metric Details'!F86=$H$2,1,2))</f>
        <v>2</v>
      </c>
      <c r="V86">
        <f>LEN('Metric Details'!H86)</f>
        <v>0</v>
      </c>
      <c r="W86">
        <f t="shared" si="5"/>
        <v>2</v>
      </c>
      <c r="X86">
        <f t="shared" ca="1" si="6"/>
        <v>82</v>
      </c>
    </row>
    <row r="87" spans="18:24">
      <c r="R87">
        <f t="shared" ca="1" si="4"/>
        <v>1</v>
      </c>
      <c r="S87">
        <f>Metrics!B87</f>
        <v>0</v>
      </c>
      <c r="T87">
        <f>'Metric Details'!C87</f>
        <v>0</v>
      </c>
      <c r="U87">
        <f>IF('Metric Details'!F87=$H$1,0,IF('Metric Details'!F87=$H$2,1,2))</f>
        <v>2</v>
      </c>
      <c r="V87">
        <f>LEN('Metric Details'!H87)</f>
        <v>0</v>
      </c>
      <c r="W87">
        <f t="shared" si="5"/>
        <v>2</v>
      </c>
      <c r="X87">
        <f t="shared" ca="1" si="6"/>
        <v>82</v>
      </c>
    </row>
    <row r="88" spans="18:24">
      <c r="R88">
        <f t="shared" ca="1" si="4"/>
        <v>1</v>
      </c>
      <c r="S88">
        <f>Metrics!B88</f>
        <v>0</v>
      </c>
      <c r="T88">
        <f>'Metric Details'!C88</f>
        <v>0</v>
      </c>
      <c r="U88">
        <f>IF('Metric Details'!F88=$H$1,0,IF('Metric Details'!F88=$H$2,1,2))</f>
        <v>2</v>
      </c>
      <c r="V88">
        <f>LEN('Metric Details'!H88)</f>
        <v>0</v>
      </c>
      <c r="W88">
        <f t="shared" si="5"/>
        <v>2</v>
      </c>
      <c r="X88">
        <f t="shared" ca="1" si="6"/>
        <v>82</v>
      </c>
    </row>
    <row r="89" spans="18:24">
      <c r="R89">
        <f t="shared" ca="1" si="4"/>
        <v>1</v>
      </c>
      <c r="S89">
        <f>Metrics!B89</f>
        <v>0</v>
      </c>
      <c r="T89">
        <f>'Metric Details'!C89</f>
        <v>0</v>
      </c>
      <c r="U89">
        <f>IF('Metric Details'!F89=$H$1,0,IF('Metric Details'!F89=$H$2,1,2))</f>
        <v>2</v>
      </c>
      <c r="V89">
        <f>LEN('Metric Details'!H89)</f>
        <v>0</v>
      </c>
      <c r="W89">
        <f t="shared" si="5"/>
        <v>2</v>
      </c>
      <c r="X89">
        <f t="shared" ca="1" si="6"/>
        <v>82</v>
      </c>
    </row>
    <row r="90" spans="18:24">
      <c r="R90">
        <f t="shared" ca="1" si="4"/>
        <v>1</v>
      </c>
      <c r="S90">
        <f>Metrics!B90</f>
        <v>0</v>
      </c>
      <c r="T90">
        <f>'Metric Details'!C90</f>
        <v>0</v>
      </c>
      <c r="U90">
        <f>IF('Metric Details'!F90=$H$1,0,IF('Metric Details'!F90=$H$2,1,2))</f>
        <v>2</v>
      </c>
      <c r="V90">
        <f>LEN('Metric Details'!H90)</f>
        <v>0</v>
      </c>
      <c r="W90">
        <f t="shared" si="5"/>
        <v>2</v>
      </c>
      <c r="X90">
        <f t="shared" ca="1" si="6"/>
        <v>82</v>
      </c>
    </row>
    <row r="91" spans="18:24">
      <c r="R91">
        <f t="shared" ca="1" si="4"/>
        <v>1</v>
      </c>
      <c r="S91">
        <f>Metrics!B91</f>
        <v>0</v>
      </c>
      <c r="T91">
        <f>'Metric Details'!C91</f>
        <v>0</v>
      </c>
      <c r="U91">
        <f>IF('Metric Details'!F91=$H$1,0,IF('Metric Details'!F91=$H$2,1,2))</f>
        <v>2</v>
      </c>
      <c r="V91">
        <f>LEN('Metric Details'!H91)</f>
        <v>0</v>
      </c>
      <c r="W91">
        <f t="shared" si="5"/>
        <v>2</v>
      </c>
      <c r="X91">
        <f t="shared" ca="1" si="6"/>
        <v>82</v>
      </c>
    </row>
    <row r="92" spans="18:24">
      <c r="R92">
        <f t="shared" ca="1" si="4"/>
        <v>1</v>
      </c>
      <c r="S92">
        <f>Metrics!B92</f>
        <v>0</v>
      </c>
      <c r="T92">
        <f>'Metric Details'!C92</f>
        <v>0</v>
      </c>
      <c r="U92">
        <f>IF('Metric Details'!F92=$H$1,0,IF('Metric Details'!F92=$H$2,1,2))</f>
        <v>2</v>
      </c>
      <c r="V92">
        <f>LEN('Metric Details'!H92)</f>
        <v>0</v>
      </c>
      <c r="W92">
        <f t="shared" si="5"/>
        <v>2</v>
      </c>
      <c r="X92">
        <f t="shared" ca="1" si="6"/>
        <v>82</v>
      </c>
    </row>
    <row r="93" spans="18:24">
      <c r="R93">
        <f t="shared" ca="1" si="4"/>
        <v>1</v>
      </c>
      <c r="S93">
        <f>Metrics!B93</f>
        <v>0</v>
      </c>
      <c r="T93">
        <f>'Metric Details'!C93</f>
        <v>0</v>
      </c>
      <c r="U93">
        <f>IF('Metric Details'!F93=$H$1,0,IF('Metric Details'!F93=$H$2,1,2))</f>
        <v>2</v>
      </c>
      <c r="V93">
        <f>LEN('Metric Details'!H93)</f>
        <v>0</v>
      </c>
      <c r="W93">
        <f t="shared" si="5"/>
        <v>2</v>
      </c>
      <c r="X93">
        <f t="shared" ca="1" si="6"/>
        <v>82</v>
      </c>
    </row>
    <row r="94" spans="18:24">
      <c r="R94">
        <f t="shared" ca="1" si="4"/>
        <v>1</v>
      </c>
      <c r="S94">
        <f>Metrics!B94</f>
        <v>0</v>
      </c>
      <c r="T94">
        <f>'Metric Details'!C94</f>
        <v>0</v>
      </c>
      <c r="U94">
        <f>IF('Metric Details'!F94=$H$1,0,IF('Metric Details'!F94=$H$2,1,2))</f>
        <v>2</v>
      </c>
      <c r="V94">
        <f>LEN('Metric Details'!H94)</f>
        <v>0</v>
      </c>
      <c r="W94">
        <f t="shared" si="5"/>
        <v>2</v>
      </c>
      <c r="X94">
        <f t="shared" ca="1" si="6"/>
        <v>82</v>
      </c>
    </row>
    <row r="95" spans="18:24">
      <c r="R95">
        <f t="shared" ca="1" si="4"/>
        <v>1</v>
      </c>
      <c r="S95">
        <f>Metrics!B95</f>
        <v>0</v>
      </c>
      <c r="T95">
        <f>'Metric Details'!C95</f>
        <v>0</v>
      </c>
      <c r="U95">
        <f>IF('Metric Details'!F95=$H$1,0,IF('Metric Details'!F95=$H$2,1,2))</f>
        <v>2</v>
      </c>
      <c r="V95">
        <f>LEN('Metric Details'!H95)</f>
        <v>0</v>
      </c>
      <c r="W95">
        <f t="shared" si="5"/>
        <v>2</v>
      </c>
      <c r="X95">
        <f t="shared" ca="1" si="6"/>
        <v>82</v>
      </c>
    </row>
    <row r="96" spans="18:24">
      <c r="R96">
        <f t="shared" ca="1" si="4"/>
        <v>1</v>
      </c>
      <c r="S96">
        <f>Metrics!B96</f>
        <v>0</v>
      </c>
      <c r="T96">
        <f>'Metric Details'!C96</f>
        <v>0</v>
      </c>
      <c r="U96">
        <f>IF('Metric Details'!F96=$H$1,0,IF('Metric Details'!F96=$H$2,1,2))</f>
        <v>2</v>
      </c>
      <c r="V96">
        <f>LEN('Metric Details'!H96)</f>
        <v>0</v>
      </c>
      <c r="W96">
        <f t="shared" si="5"/>
        <v>2</v>
      </c>
      <c r="X96">
        <f t="shared" ca="1" si="6"/>
        <v>82</v>
      </c>
    </row>
    <row r="97" spans="18:24">
      <c r="R97">
        <f t="shared" ca="1" si="4"/>
        <v>1</v>
      </c>
      <c r="S97">
        <f>Metrics!B97</f>
        <v>0</v>
      </c>
      <c r="T97">
        <f>'Metric Details'!C97</f>
        <v>0</v>
      </c>
      <c r="U97">
        <f>IF('Metric Details'!F97=$H$1,0,IF('Metric Details'!F97=$H$2,1,2))</f>
        <v>2</v>
      </c>
      <c r="V97">
        <f>LEN('Metric Details'!H97)</f>
        <v>0</v>
      </c>
      <c r="W97">
        <f t="shared" si="5"/>
        <v>2</v>
      </c>
      <c r="X97">
        <f t="shared" ca="1" si="6"/>
        <v>82</v>
      </c>
    </row>
    <row r="98" spans="18:24">
      <c r="R98">
        <f t="shared" ca="1" si="4"/>
        <v>1</v>
      </c>
      <c r="S98">
        <f>Metrics!B98</f>
        <v>0</v>
      </c>
      <c r="T98">
        <f>'Metric Details'!C98</f>
        <v>0</v>
      </c>
      <c r="U98">
        <f>IF('Metric Details'!F98=$H$1,0,IF('Metric Details'!F98=$H$2,1,2))</f>
        <v>2</v>
      </c>
      <c r="V98">
        <f>LEN('Metric Details'!H98)</f>
        <v>0</v>
      </c>
      <c r="W98">
        <f t="shared" si="5"/>
        <v>2</v>
      </c>
      <c r="X98">
        <f t="shared" ca="1" si="6"/>
        <v>82</v>
      </c>
    </row>
    <row r="99" spans="18:24">
      <c r="R99">
        <f t="shared" ca="1" si="4"/>
        <v>1</v>
      </c>
      <c r="S99">
        <f>Metrics!B99</f>
        <v>0</v>
      </c>
      <c r="T99">
        <f>'Metric Details'!C99</f>
        <v>0</v>
      </c>
      <c r="U99">
        <f>IF('Metric Details'!F99=$H$1,0,IF('Metric Details'!F99=$H$2,1,2))</f>
        <v>2</v>
      </c>
      <c r="V99">
        <f>LEN('Metric Details'!H99)</f>
        <v>0</v>
      </c>
      <c r="W99">
        <f t="shared" si="5"/>
        <v>2</v>
      </c>
      <c r="X99">
        <f t="shared" ca="1" si="6"/>
        <v>82</v>
      </c>
    </row>
    <row r="100" spans="18:24">
      <c r="R100">
        <f t="shared" ca="1" si="4"/>
        <v>1</v>
      </c>
      <c r="S100">
        <f>Metrics!B100</f>
        <v>0</v>
      </c>
      <c r="T100">
        <f>'Metric Details'!C100</f>
        <v>0</v>
      </c>
      <c r="U100">
        <f>IF('Metric Details'!F100=$H$1,0,IF('Metric Details'!F100=$H$2,1,2))</f>
        <v>2</v>
      </c>
      <c r="V100">
        <f>LEN('Metric Details'!H100)</f>
        <v>0</v>
      </c>
      <c r="W100">
        <f t="shared" si="5"/>
        <v>2</v>
      </c>
      <c r="X100">
        <f t="shared" ca="1" si="6"/>
        <v>82</v>
      </c>
    </row>
    <row r="101" spans="18:24">
      <c r="R101">
        <f t="shared" ca="1" si="4"/>
        <v>1</v>
      </c>
      <c r="S101">
        <f>Metrics!B101</f>
        <v>0</v>
      </c>
      <c r="T101">
        <f>'Metric Details'!C101</f>
        <v>0</v>
      </c>
      <c r="U101">
        <f>IF('Metric Details'!F101=$H$1,0,IF('Metric Details'!F101=$H$2,1,2))</f>
        <v>2</v>
      </c>
      <c r="V101">
        <f>LEN('Metric Details'!H101)</f>
        <v>0</v>
      </c>
      <c r="W101">
        <f t="shared" si="5"/>
        <v>2</v>
      </c>
      <c r="X101">
        <f t="shared" ca="1" si="6"/>
        <v>82</v>
      </c>
    </row>
    <row r="102" spans="18:24">
      <c r="R102">
        <f t="shared" ca="1" si="4"/>
        <v>1</v>
      </c>
      <c r="S102">
        <f>Metrics!B102</f>
        <v>0</v>
      </c>
      <c r="T102">
        <f>'Metric Details'!C102</f>
        <v>0</v>
      </c>
      <c r="U102">
        <f>IF('Metric Details'!F102=$H$1,0,IF('Metric Details'!F102=$H$2,1,2))</f>
        <v>2</v>
      </c>
      <c r="V102">
        <f>LEN('Metric Details'!H102)</f>
        <v>0</v>
      </c>
      <c r="W102">
        <f t="shared" si="5"/>
        <v>2</v>
      </c>
      <c r="X102">
        <f t="shared" ca="1" si="6"/>
        <v>82</v>
      </c>
    </row>
    <row r="103" spans="18:24">
      <c r="R103">
        <f t="shared" ca="1" si="4"/>
        <v>1</v>
      </c>
      <c r="S103">
        <f>Metrics!B103</f>
        <v>0</v>
      </c>
      <c r="T103">
        <f>'Metric Details'!C103</f>
        <v>0</v>
      </c>
      <c r="U103">
        <f>IF('Metric Details'!F103=$H$1,0,IF('Metric Details'!F103=$H$2,1,2))</f>
        <v>2</v>
      </c>
      <c r="V103">
        <f>LEN('Metric Details'!H103)</f>
        <v>0</v>
      </c>
      <c r="W103">
        <f t="shared" si="5"/>
        <v>2</v>
      </c>
      <c r="X103">
        <f t="shared" ca="1" si="6"/>
        <v>82</v>
      </c>
    </row>
    <row r="104" spans="18:24">
      <c r="R104">
        <f t="shared" ca="1" si="4"/>
        <v>1</v>
      </c>
      <c r="S104">
        <f>Metrics!B104</f>
        <v>0</v>
      </c>
      <c r="T104">
        <f>'Metric Details'!C104</f>
        <v>0</v>
      </c>
      <c r="U104">
        <f>IF('Metric Details'!F104=$H$1,0,IF('Metric Details'!F104=$H$2,1,2))</f>
        <v>2</v>
      </c>
      <c r="V104">
        <f>LEN('Metric Details'!H104)</f>
        <v>0</v>
      </c>
      <c r="W104">
        <f t="shared" si="5"/>
        <v>2</v>
      </c>
      <c r="X104">
        <f t="shared" ca="1" si="6"/>
        <v>82</v>
      </c>
    </row>
    <row r="105" spans="18:24">
      <c r="R105">
        <f t="shared" ca="1" si="4"/>
        <v>1</v>
      </c>
      <c r="S105">
        <f>Metrics!B105</f>
        <v>0</v>
      </c>
      <c r="T105">
        <f>'Metric Details'!C105</f>
        <v>0</v>
      </c>
      <c r="U105">
        <f>IF('Metric Details'!F105=$H$1,0,IF('Metric Details'!F105=$H$2,1,2))</f>
        <v>2</v>
      </c>
      <c r="V105">
        <f>LEN('Metric Details'!H105)</f>
        <v>0</v>
      </c>
      <c r="W105">
        <f t="shared" si="5"/>
        <v>2</v>
      </c>
      <c r="X105">
        <f t="shared" ca="1" si="6"/>
        <v>82</v>
      </c>
    </row>
    <row r="106" spans="18:24">
      <c r="R106">
        <f t="shared" ca="1" si="4"/>
        <v>1</v>
      </c>
      <c r="S106">
        <f>Metrics!B106</f>
        <v>0</v>
      </c>
      <c r="T106">
        <f>'Metric Details'!C106</f>
        <v>0</v>
      </c>
      <c r="U106">
        <f>IF('Metric Details'!F106=$H$1,0,IF('Metric Details'!F106=$H$2,1,2))</f>
        <v>2</v>
      </c>
      <c r="V106">
        <f>LEN('Metric Details'!H106)</f>
        <v>0</v>
      </c>
      <c r="W106">
        <f t="shared" si="5"/>
        <v>2</v>
      </c>
      <c r="X106">
        <f t="shared" ca="1" si="6"/>
        <v>82</v>
      </c>
    </row>
    <row r="107" spans="18:24">
      <c r="R107">
        <f t="shared" ca="1" si="4"/>
        <v>1</v>
      </c>
      <c r="S107">
        <f>Metrics!B107</f>
        <v>0</v>
      </c>
      <c r="T107">
        <f>'Metric Details'!C107</f>
        <v>0</v>
      </c>
      <c r="U107">
        <f>IF('Metric Details'!F107=$H$1,0,IF('Metric Details'!F107=$H$2,1,2))</f>
        <v>2</v>
      </c>
      <c r="V107">
        <f>LEN('Metric Details'!H107)</f>
        <v>0</v>
      </c>
      <c r="W107">
        <f t="shared" si="5"/>
        <v>2</v>
      </c>
      <c r="X107">
        <f t="shared" ca="1" si="6"/>
        <v>82</v>
      </c>
    </row>
    <row r="108" spans="18:24">
      <c r="R108">
        <f t="shared" ca="1" si="4"/>
        <v>1</v>
      </c>
      <c r="S108">
        <f>Metrics!B108</f>
        <v>0</v>
      </c>
      <c r="T108">
        <f>'Metric Details'!C108</f>
        <v>0</v>
      </c>
      <c r="U108">
        <f>IF('Metric Details'!F108=$H$1,0,IF('Metric Details'!F108=$H$2,1,2))</f>
        <v>2</v>
      </c>
      <c r="V108">
        <f>LEN('Metric Details'!H108)</f>
        <v>0</v>
      </c>
      <c r="W108">
        <f t="shared" si="5"/>
        <v>2</v>
      </c>
      <c r="X108">
        <f t="shared" ca="1" si="6"/>
        <v>82</v>
      </c>
    </row>
    <row r="109" spans="18:24">
      <c r="R109">
        <f t="shared" ca="1" si="4"/>
        <v>1</v>
      </c>
      <c r="S109">
        <f>Metrics!B109</f>
        <v>0</v>
      </c>
      <c r="T109">
        <f>'Metric Details'!C109</f>
        <v>0</v>
      </c>
      <c r="U109">
        <f>IF('Metric Details'!F109=$H$1,0,IF('Metric Details'!F109=$H$2,1,2))</f>
        <v>2</v>
      </c>
      <c r="V109">
        <f>LEN('Metric Details'!H109)</f>
        <v>0</v>
      </c>
      <c r="W109">
        <f t="shared" si="5"/>
        <v>2</v>
      </c>
      <c r="X109">
        <f t="shared" ca="1" si="6"/>
        <v>82</v>
      </c>
    </row>
    <row r="110" spans="18:24">
      <c r="R110">
        <f t="shared" ca="1" si="4"/>
        <v>1</v>
      </c>
      <c r="S110">
        <f>Metrics!B110</f>
        <v>0</v>
      </c>
      <c r="T110">
        <f>'Metric Details'!C110</f>
        <v>0</v>
      </c>
      <c r="U110">
        <f>IF('Metric Details'!F110=$H$1,0,IF('Metric Details'!F110=$H$2,1,2))</f>
        <v>2</v>
      </c>
      <c r="V110">
        <f>LEN('Metric Details'!H110)</f>
        <v>0</v>
      </c>
      <c r="W110">
        <f t="shared" si="5"/>
        <v>2</v>
      </c>
      <c r="X110">
        <f t="shared" ca="1" si="6"/>
        <v>82</v>
      </c>
    </row>
    <row r="111" spans="18:24">
      <c r="R111">
        <f t="shared" ca="1" si="4"/>
        <v>1</v>
      </c>
      <c r="S111">
        <f>Metrics!B111</f>
        <v>0</v>
      </c>
      <c r="T111">
        <f>'Metric Details'!C111</f>
        <v>0</v>
      </c>
      <c r="U111">
        <f>IF('Metric Details'!F111=$H$1,0,IF('Metric Details'!F111=$H$2,1,2))</f>
        <v>2</v>
      </c>
      <c r="V111">
        <f>LEN('Metric Details'!H111)</f>
        <v>0</v>
      </c>
      <c r="W111">
        <f t="shared" si="5"/>
        <v>2</v>
      </c>
      <c r="X111">
        <f t="shared" ca="1" si="6"/>
        <v>82</v>
      </c>
    </row>
    <row r="112" spans="18:24">
      <c r="R112">
        <f t="shared" ca="1" si="4"/>
        <v>1</v>
      </c>
      <c r="S112">
        <f>Metrics!B112</f>
        <v>0</v>
      </c>
      <c r="T112">
        <f>'Metric Details'!C112</f>
        <v>0</v>
      </c>
      <c r="U112">
        <f>IF('Metric Details'!F112=$H$1,0,IF('Metric Details'!F112=$H$2,1,2))</f>
        <v>2</v>
      </c>
      <c r="V112">
        <f>LEN('Metric Details'!H112)</f>
        <v>0</v>
      </c>
      <c r="W112">
        <f t="shared" si="5"/>
        <v>2</v>
      </c>
      <c r="X112">
        <f t="shared" ca="1" si="6"/>
        <v>82</v>
      </c>
    </row>
    <row r="113" spans="18:24">
      <c r="R113">
        <f t="shared" ca="1" si="4"/>
        <v>1</v>
      </c>
      <c r="S113">
        <f>Metrics!B113</f>
        <v>0</v>
      </c>
      <c r="T113">
        <f>'Metric Details'!C113</f>
        <v>0</v>
      </c>
      <c r="U113">
        <f>IF('Metric Details'!F113=$H$1,0,IF('Metric Details'!F113=$H$2,1,2))</f>
        <v>2</v>
      </c>
      <c r="V113">
        <f>LEN('Metric Details'!H113)</f>
        <v>0</v>
      </c>
      <c r="W113">
        <f t="shared" si="5"/>
        <v>2</v>
      </c>
      <c r="X113">
        <f t="shared" ca="1" si="6"/>
        <v>82</v>
      </c>
    </row>
    <row r="114" spans="18:24">
      <c r="R114">
        <f t="shared" ca="1" si="4"/>
        <v>1</v>
      </c>
      <c r="S114">
        <f>Metrics!B114</f>
        <v>0</v>
      </c>
      <c r="T114">
        <f>'Metric Details'!C114</f>
        <v>0</v>
      </c>
      <c r="U114">
        <f>IF('Metric Details'!F114=$H$1,0,IF('Metric Details'!F114=$H$2,1,2))</f>
        <v>2</v>
      </c>
      <c r="V114">
        <f>LEN('Metric Details'!H114)</f>
        <v>0</v>
      </c>
      <c r="W114">
        <f t="shared" si="5"/>
        <v>2</v>
      </c>
      <c r="X114">
        <f t="shared" ca="1" si="6"/>
        <v>82</v>
      </c>
    </row>
    <row r="115" spans="18:24">
      <c r="R115">
        <f t="shared" ca="1" si="4"/>
        <v>1</v>
      </c>
      <c r="S115">
        <f>Metrics!B115</f>
        <v>0</v>
      </c>
      <c r="T115">
        <f>'Metric Details'!C115</f>
        <v>0</v>
      </c>
      <c r="U115">
        <f>IF('Metric Details'!F115=$H$1,0,IF('Metric Details'!F115=$H$2,1,2))</f>
        <v>2</v>
      </c>
      <c r="V115">
        <f>LEN('Metric Details'!H115)</f>
        <v>0</v>
      </c>
      <c r="W115">
        <f t="shared" si="5"/>
        <v>2</v>
      </c>
      <c r="X115">
        <f t="shared" ca="1" si="6"/>
        <v>82</v>
      </c>
    </row>
    <row r="116" spans="18:24">
      <c r="R116">
        <f t="shared" ca="1" si="4"/>
        <v>1</v>
      </c>
      <c r="S116">
        <f>Metrics!B116</f>
        <v>0</v>
      </c>
      <c r="T116">
        <f>'Metric Details'!C116</f>
        <v>0</v>
      </c>
      <c r="U116">
        <f>IF('Metric Details'!F116=$H$1,0,IF('Metric Details'!F116=$H$2,1,2))</f>
        <v>2</v>
      </c>
      <c r="V116">
        <f>LEN('Metric Details'!H116)</f>
        <v>0</v>
      </c>
      <c r="W116">
        <f t="shared" si="5"/>
        <v>2</v>
      </c>
      <c r="X116">
        <f t="shared" ca="1" si="6"/>
        <v>82</v>
      </c>
    </row>
    <row r="117" spans="18:24">
      <c r="R117">
        <f t="shared" ca="1" si="4"/>
        <v>1</v>
      </c>
      <c r="S117">
        <f>Metrics!B117</f>
        <v>0</v>
      </c>
      <c r="T117">
        <f>'Metric Details'!C117</f>
        <v>0</v>
      </c>
      <c r="U117">
        <f>IF('Metric Details'!F117=$H$1,0,IF('Metric Details'!F117=$H$2,1,2))</f>
        <v>2</v>
      </c>
      <c r="V117">
        <f>LEN('Metric Details'!H117)</f>
        <v>0</v>
      </c>
      <c r="W117">
        <f t="shared" si="5"/>
        <v>2</v>
      </c>
      <c r="X117">
        <f t="shared" ca="1" si="6"/>
        <v>82</v>
      </c>
    </row>
    <row r="118" spans="18:24">
      <c r="R118">
        <f t="shared" ca="1" si="4"/>
        <v>1</v>
      </c>
      <c r="S118">
        <f>Metrics!B118</f>
        <v>0</v>
      </c>
      <c r="T118">
        <f>'Metric Details'!C118</f>
        <v>0</v>
      </c>
      <c r="U118">
        <f>IF('Metric Details'!F118=$H$1,0,IF('Metric Details'!F118=$H$2,1,2))</f>
        <v>2</v>
      </c>
      <c r="V118">
        <f>LEN('Metric Details'!H118)</f>
        <v>0</v>
      </c>
      <c r="W118">
        <f t="shared" si="5"/>
        <v>2</v>
      </c>
      <c r="X118">
        <f t="shared" ca="1" si="6"/>
        <v>82</v>
      </c>
    </row>
    <row r="119" spans="18:24">
      <c r="R119">
        <f t="shared" ca="1" si="4"/>
        <v>1</v>
      </c>
      <c r="S119">
        <f>Metrics!B119</f>
        <v>0</v>
      </c>
      <c r="T119">
        <f>'Metric Details'!C119</f>
        <v>0</v>
      </c>
      <c r="U119">
        <f>IF('Metric Details'!F119=$H$1,0,IF('Metric Details'!F119=$H$2,1,2))</f>
        <v>2</v>
      </c>
      <c r="V119">
        <f>LEN('Metric Details'!H119)</f>
        <v>0</v>
      </c>
      <c r="W119">
        <f t="shared" si="5"/>
        <v>2</v>
      </c>
      <c r="X119">
        <f t="shared" ca="1" si="6"/>
        <v>82</v>
      </c>
    </row>
    <row r="120" spans="18:24">
      <c r="R120">
        <f t="shared" ca="1" si="4"/>
        <v>1</v>
      </c>
      <c r="S120">
        <f>Metrics!B120</f>
        <v>0</v>
      </c>
      <c r="T120">
        <f>'Metric Details'!C120</f>
        <v>0</v>
      </c>
      <c r="U120">
        <f>IF('Metric Details'!F120=$H$1,0,IF('Metric Details'!F120=$H$2,1,2))</f>
        <v>2</v>
      </c>
      <c r="V120">
        <f>LEN('Metric Details'!H120)</f>
        <v>0</v>
      </c>
      <c r="W120">
        <f t="shared" si="5"/>
        <v>2</v>
      </c>
      <c r="X120">
        <f t="shared" ca="1" si="6"/>
        <v>82</v>
      </c>
    </row>
    <row r="121" spans="18:24">
      <c r="R121">
        <f t="shared" ca="1" si="4"/>
        <v>1</v>
      </c>
      <c r="S121">
        <f>Metrics!B121</f>
        <v>0</v>
      </c>
      <c r="T121">
        <f>'Metric Details'!C121</f>
        <v>0</v>
      </c>
      <c r="U121">
        <f>IF('Metric Details'!F121=$H$1,0,IF('Metric Details'!F121=$H$2,1,2))</f>
        <v>2</v>
      </c>
      <c r="V121">
        <f>LEN('Metric Details'!H121)</f>
        <v>0</v>
      </c>
      <c r="W121">
        <f t="shared" si="5"/>
        <v>2</v>
      </c>
      <c r="X121">
        <f t="shared" ca="1" si="6"/>
        <v>82</v>
      </c>
    </row>
    <row r="122" spans="18:24">
      <c r="R122">
        <f t="shared" ca="1" si="4"/>
        <v>1</v>
      </c>
      <c r="S122">
        <f>Metrics!B122</f>
        <v>0</v>
      </c>
      <c r="T122">
        <f>'Metric Details'!C122</f>
        <v>0</v>
      </c>
      <c r="U122">
        <f>IF('Metric Details'!F122=$H$1,0,IF('Metric Details'!F122=$H$2,1,2))</f>
        <v>2</v>
      </c>
      <c r="V122">
        <f>LEN('Metric Details'!H122)</f>
        <v>0</v>
      </c>
      <c r="W122">
        <f t="shared" si="5"/>
        <v>2</v>
      </c>
      <c r="X122">
        <f t="shared" ca="1" si="6"/>
        <v>82</v>
      </c>
    </row>
    <row r="123" spans="18:24">
      <c r="R123">
        <f t="shared" ca="1" si="4"/>
        <v>1</v>
      </c>
      <c r="S123">
        <f>Metrics!B123</f>
        <v>0</v>
      </c>
      <c r="T123">
        <f>'Metric Details'!C123</f>
        <v>0</v>
      </c>
      <c r="U123">
        <f>IF('Metric Details'!F123=$H$1,0,IF('Metric Details'!F123=$H$2,1,2))</f>
        <v>2</v>
      </c>
      <c r="V123">
        <f>LEN('Metric Details'!H123)</f>
        <v>0</v>
      </c>
      <c r="W123">
        <f t="shared" si="5"/>
        <v>2</v>
      </c>
      <c r="X123">
        <f t="shared" ca="1" si="6"/>
        <v>82</v>
      </c>
    </row>
    <row r="124" spans="18:24">
      <c r="R124">
        <f t="shared" ca="1" si="4"/>
        <v>1</v>
      </c>
      <c r="S124">
        <f>Metrics!B124</f>
        <v>0</v>
      </c>
      <c r="T124">
        <f>'Metric Details'!C124</f>
        <v>0</v>
      </c>
      <c r="U124">
        <f>IF('Metric Details'!F124=$H$1,0,IF('Metric Details'!F124=$H$2,1,2))</f>
        <v>2</v>
      </c>
      <c r="V124">
        <f>LEN('Metric Details'!H124)</f>
        <v>0</v>
      </c>
      <c r="W124">
        <f t="shared" si="5"/>
        <v>2</v>
      </c>
      <c r="X124">
        <f t="shared" ca="1" si="6"/>
        <v>82</v>
      </c>
    </row>
    <row r="125" spans="18:24">
      <c r="R125">
        <f t="shared" ca="1" si="4"/>
        <v>1</v>
      </c>
      <c r="S125">
        <f>Metrics!B125</f>
        <v>0</v>
      </c>
      <c r="T125">
        <f>'Metric Details'!C125</f>
        <v>0</v>
      </c>
      <c r="U125">
        <f>IF('Metric Details'!F125=$H$1,0,IF('Metric Details'!F125=$H$2,1,2))</f>
        <v>2</v>
      </c>
      <c r="V125">
        <f>LEN('Metric Details'!H125)</f>
        <v>0</v>
      </c>
      <c r="W125">
        <f t="shared" si="5"/>
        <v>2</v>
      </c>
      <c r="X125">
        <f t="shared" ca="1" si="6"/>
        <v>82</v>
      </c>
    </row>
    <row r="126" spans="18:24">
      <c r="R126">
        <f t="shared" ca="1" si="4"/>
        <v>1</v>
      </c>
      <c r="S126">
        <f>Metrics!B126</f>
        <v>0</v>
      </c>
      <c r="T126">
        <f>'Metric Details'!C126</f>
        <v>0</v>
      </c>
      <c r="U126">
        <f>IF('Metric Details'!F126=$H$1,0,IF('Metric Details'!F126=$H$2,1,2))</f>
        <v>2</v>
      </c>
      <c r="V126">
        <f>LEN('Metric Details'!H126)</f>
        <v>0</v>
      </c>
      <c r="W126">
        <f t="shared" si="5"/>
        <v>2</v>
      </c>
      <c r="X126">
        <f t="shared" ca="1" si="6"/>
        <v>82</v>
      </c>
    </row>
    <row r="127" spans="18:24">
      <c r="R127">
        <f t="shared" ca="1" si="4"/>
        <v>1</v>
      </c>
      <c r="S127">
        <f>Metrics!B127</f>
        <v>0</v>
      </c>
      <c r="T127">
        <f>'Metric Details'!C127</f>
        <v>0</v>
      </c>
      <c r="U127">
        <f>IF('Metric Details'!F127=$H$1,0,IF('Metric Details'!F127=$H$2,1,2))</f>
        <v>2</v>
      </c>
      <c r="V127">
        <f>LEN('Metric Details'!H127)</f>
        <v>0</v>
      </c>
      <c r="W127">
        <f t="shared" si="5"/>
        <v>2</v>
      </c>
      <c r="X127">
        <f t="shared" ca="1" si="6"/>
        <v>82</v>
      </c>
    </row>
    <row r="128" spans="18:24">
      <c r="R128">
        <f t="shared" ca="1" si="4"/>
        <v>1</v>
      </c>
      <c r="S128">
        <f>Metrics!B128</f>
        <v>0</v>
      </c>
      <c r="T128">
        <f>'Metric Details'!C128</f>
        <v>0</v>
      </c>
      <c r="U128">
        <f>IF('Metric Details'!F128=$H$1,0,IF('Metric Details'!F128=$H$2,1,2))</f>
        <v>2</v>
      </c>
      <c r="V128">
        <f>LEN('Metric Details'!H128)</f>
        <v>0</v>
      </c>
      <c r="W128">
        <f t="shared" si="5"/>
        <v>2</v>
      </c>
      <c r="X128">
        <f t="shared" ca="1" si="6"/>
        <v>82</v>
      </c>
    </row>
    <row r="129" spans="18:24">
      <c r="R129">
        <f t="shared" ca="1" si="4"/>
        <v>1</v>
      </c>
      <c r="S129">
        <f>Metrics!B129</f>
        <v>0</v>
      </c>
      <c r="T129">
        <f>'Metric Details'!C129</f>
        <v>0</v>
      </c>
      <c r="U129">
        <f>IF('Metric Details'!F129=$H$1,0,IF('Metric Details'!F129=$H$2,1,2))</f>
        <v>2</v>
      </c>
      <c r="V129">
        <f>LEN('Metric Details'!H129)</f>
        <v>0</v>
      </c>
      <c r="W129">
        <f t="shared" si="5"/>
        <v>2</v>
      </c>
      <c r="X129">
        <f t="shared" ca="1" si="6"/>
        <v>82</v>
      </c>
    </row>
    <row r="130" spans="18:24">
      <c r="R130">
        <f t="shared" ca="1" si="4"/>
        <v>1</v>
      </c>
      <c r="S130">
        <f>Metrics!B130</f>
        <v>0</v>
      </c>
      <c r="T130">
        <f>'Metric Details'!C130</f>
        <v>0</v>
      </c>
      <c r="U130">
        <f>IF('Metric Details'!F130=$H$1,0,IF('Metric Details'!F130=$H$2,1,2))</f>
        <v>2</v>
      </c>
      <c r="V130">
        <f>LEN('Metric Details'!H130)</f>
        <v>0</v>
      </c>
      <c r="W130">
        <f t="shared" si="5"/>
        <v>2</v>
      </c>
      <c r="X130">
        <f t="shared" ca="1" si="6"/>
        <v>82</v>
      </c>
    </row>
    <row r="131" spans="18:24">
      <c r="R131">
        <f t="shared" ref="R131:R194" ca="1" si="7">IF(INDEX(W:W,X131)&gt;0,1,0)</f>
        <v>1</v>
      </c>
      <c r="S131">
        <f>Metrics!B131</f>
        <v>0</v>
      </c>
      <c r="T131">
        <f>'Metric Details'!C131</f>
        <v>0</v>
      </c>
      <c r="U131">
        <f>IF('Metric Details'!F131=$H$1,0,IF('Metric Details'!F131=$H$2,1,2))</f>
        <v>2</v>
      </c>
      <c r="V131">
        <f>LEN('Metric Details'!H131)</f>
        <v>0</v>
      </c>
      <c r="W131">
        <f t="shared" ref="W131:W194" si="8">IF(V131&gt;0,2,U131)</f>
        <v>2</v>
      </c>
      <c r="X131">
        <f t="shared" ca="1" si="6"/>
        <v>82</v>
      </c>
    </row>
    <row r="132" spans="18:24">
      <c r="R132">
        <f t="shared" ca="1" si="7"/>
        <v>1</v>
      </c>
      <c r="S132">
        <f>Metrics!B132</f>
        <v>0</v>
      </c>
      <c r="T132">
        <f>'Metric Details'!C132</f>
        <v>0</v>
      </c>
      <c r="U132">
        <f>IF('Metric Details'!F132=$H$1,0,IF('Metric Details'!F132=$H$2,1,2))</f>
        <v>2</v>
      </c>
      <c r="V132">
        <f>LEN('Metric Details'!H132)</f>
        <v>0</v>
      </c>
      <c r="W132">
        <f t="shared" si="8"/>
        <v>2</v>
      </c>
      <c r="X132">
        <f t="shared" ca="1" si="6"/>
        <v>82</v>
      </c>
    </row>
    <row r="133" spans="18:24">
      <c r="R133">
        <f t="shared" ca="1" si="7"/>
        <v>1</v>
      </c>
      <c r="S133">
        <f>Metrics!B133</f>
        <v>0</v>
      </c>
      <c r="T133">
        <f>'Metric Details'!C133</f>
        <v>0</v>
      </c>
      <c r="U133">
        <f>IF('Metric Details'!F133=$H$1,0,IF('Metric Details'!F133=$H$2,1,2))</f>
        <v>2</v>
      </c>
      <c r="V133">
        <f>LEN('Metric Details'!H133)</f>
        <v>0</v>
      </c>
      <c r="W133">
        <f t="shared" si="8"/>
        <v>2</v>
      </c>
      <c r="X133">
        <f t="shared" ca="1" si="6"/>
        <v>82</v>
      </c>
    </row>
    <row r="134" spans="18:24">
      <c r="R134">
        <f t="shared" ca="1" si="7"/>
        <v>1</v>
      </c>
      <c r="S134">
        <f>Metrics!B134</f>
        <v>0</v>
      </c>
      <c r="T134">
        <f>'Metric Details'!C134</f>
        <v>0</v>
      </c>
      <c r="U134">
        <f>IF('Metric Details'!F134=$H$1,0,IF('Metric Details'!F134=$H$2,1,2))</f>
        <v>2</v>
      </c>
      <c r="V134">
        <f>LEN('Metric Details'!H134)</f>
        <v>0</v>
      </c>
      <c r="W134">
        <f t="shared" si="8"/>
        <v>2</v>
      </c>
      <c r="X134">
        <f t="shared" ref="X134:X197" ca="1" si="9">ROW(INDIRECT(ADDRESS(MATCH(S134,T:T,0),COLUMN(T134),1)))</f>
        <v>82</v>
      </c>
    </row>
    <row r="135" spans="18:24">
      <c r="R135">
        <f t="shared" ca="1" si="7"/>
        <v>1</v>
      </c>
      <c r="S135">
        <f>Metrics!B135</f>
        <v>0</v>
      </c>
      <c r="T135">
        <f>'Metric Details'!C135</f>
        <v>0</v>
      </c>
      <c r="U135">
        <f>IF('Metric Details'!F135=$H$1,0,IF('Metric Details'!F135=$H$2,1,2))</f>
        <v>2</v>
      </c>
      <c r="V135">
        <f>LEN('Metric Details'!H135)</f>
        <v>0</v>
      </c>
      <c r="W135">
        <f t="shared" si="8"/>
        <v>2</v>
      </c>
      <c r="X135">
        <f t="shared" ca="1" si="9"/>
        <v>82</v>
      </c>
    </row>
    <row r="136" spans="18:24">
      <c r="R136">
        <f t="shared" ca="1" si="7"/>
        <v>1</v>
      </c>
      <c r="S136">
        <f>Metrics!B136</f>
        <v>0</v>
      </c>
      <c r="T136">
        <f>'Metric Details'!C136</f>
        <v>0</v>
      </c>
      <c r="U136">
        <f>IF('Metric Details'!F136=$H$1,0,IF('Metric Details'!F136=$H$2,1,2))</f>
        <v>2</v>
      </c>
      <c r="V136">
        <f>LEN('Metric Details'!H136)</f>
        <v>0</v>
      </c>
      <c r="W136">
        <f t="shared" si="8"/>
        <v>2</v>
      </c>
      <c r="X136">
        <f t="shared" ca="1" si="9"/>
        <v>82</v>
      </c>
    </row>
    <row r="137" spans="18:24">
      <c r="R137">
        <f t="shared" ca="1" si="7"/>
        <v>1</v>
      </c>
      <c r="S137">
        <f>Metrics!B137</f>
        <v>0</v>
      </c>
      <c r="T137">
        <f>'Metric Details'!C137</f>
        <v>0</v>
      </c>
      <c r="U137">
        <f>IF('Metric Details'!F137=$H$1,0,IF('Metric Details'!F137=$H$2,1,2))</f>
        <v>2</v>
      </c>
      <c r="V137">
        <f>LEN('Metric Details'!H137)</f>
        <v>0</v>
      </c>
      <c r="W137">
        <f t="shared" si="8"/>
        <v>2</v>
      </c>
      <c r="X137">
        <f t="shared" ca="1" si="9"/>
        <v>82</v>
      </c>
    </row>
    <row r="138" spans="18:24">
      <c r="R138">
        <f t="shared" ca="1" si="7"/>
        <v>1</v>
      </c>
      <c r="S138">
        <f>Metrics!B138</f>
        <v>0</v>
      </c>
      <c r="T138">
        <f>'Metric Details'!C138</f>
        <v>0</v>
      </c>
      <c r="U138">
        <f>IF('Metric Details'!F138=$H$1,0,IF('Metric Details'!F138=$H$2,1,2))</f>
        <v>2</v>
      </c>
      <c r="V138">
        <f>LEN('Metric Details'!H138)</f>
        <v>0</v>
      </c>
      <c r="W138">
        <f t="shared" si="8"/>
        <v>2</v>
      </c>
      <c r="X138">
        <f t="shared" ca="1" si="9"/>
        <v>82</v>
      </c>
    </row>
    <row r="139" spans="18:24">
      <c r="R139">
        <f t="shared" ca="1" si="7"/>
        <v>1</v>
      </c>
      <c r="S139">
        <f>Metrics!B139</f>
        <v>0</v>
      </c>
      <c r="T139">
        <f>'Metric Details'!C139</f>
        <v>0</v>
      </c>
      <c r="U139">
        <f>IF('Metric Details'!F139=$H$1,0,IF('Metric Details'!F139=$H$2,1,2))</f>
        <v>2</v>
      </c>
      <c r="V139">
        <f>LEN('Metric Details'!H139)</f>
        <v>0</v>
      </c>
      <c r="W139">
        <f t="shared" si="8"/>
        <v>2</v>
      </c>
      <c r="X139">
        <f t="shared" ca="1" si="9"/>
        <v>82</v>
      </c>
    </row>
    <row r="140" spans="18:24">
      <c r="R140">
        <f t="shared" ca="1" si="7"/>
        <v>1</v>
      </c>
      <c r="S140">
        <f>Metrics!B140</f>
        <v>0</v>
      </c>
      <c r="T140">
        <f>'Metric Details'!C140</f>
        <v>0</v>
      </c>
      <c r="U140">
        <f>IF('Metric Details'!F140=$H$1,0,IF('Metric Details'!F140=$H$2,1,2))</f>
        <v>2</v>
      </c>
      <c r="V140">
        <f>LEN('Metric Details'!H140)</f>
        <v>0</v>
      </c>
      <c r="W140">
        <f t="shared" si="8"/>
        <v>2</v>
      </c>
      <c r="X140">
        <f t="shared" ca="1" si="9"/>
        <v>82</v>
      </c>
    </row>
    <row r="141" spans="18:24">
      <c r="R141">
        <f t="shared" ca="1" si="7"/>
        <v>1</v>
      </c>
      <c r="S141">
        <f>Metrics!B141</f>
        <v>0</v>
      </c>
      <c r="T141">
        <f>'Metric Details'!C141</f>
        <v>0</v>
      </c>
      <c r="U141">
        <f>IF('Metric Details'!F141=$H$1,0,IF('Metric Details'!F141=$H$2,1,2))</f>
        <v>2</v>
      </c>
      <c r="V141">
        <f>LEN('Metric Details'!H141)</f>
        <v>0</v>
      </c>
      <c r="W141">
        <f t="shared" si="8"/>
        <v>2</v>
      </c>
      <c r="X141">
        <f t="shared" ca="1" si="9"/>
        <v>82</v>
      </c>
    </row>
    <row r="142" spans="18:24">
      <c r="R142">
        <f t="shared" ca="1" si="7"/>
        <v>1</v>
      </c>
      <c r="S142">
        <f>Metrics!B142</f>
        <v>0</v>
      </c>
      <c r="T142">
        <f>'Metric Details'!C142</f>
        <v>0</v>
      </c>
      <c r="U142">
        <f>IF('Metric Details'!F142=$H$1,0,IF('Metric Details'!F142=$H$2,1,2))</f>
        <v>2</v>
      </c>
      <c r="V142">
        <f>LEN('Metric Details'!H142)</f>
        <v>0</v>
      </c>
      <c r="W142">
        <f t="shared" si="8"/>
        <v>2</v>
      </c>
      <c r="X142">
        <f t="shared" ca="1" si="9"/>
        <v>82</v>
      </c>
    </row>
    <row r="143" spans="18:24">
      <c r="R143">
        <f t="shared" ca="1" si="7"/>
        <v>1</v>
      </c>
      <c r="S143">
        <f>Metrics!B143</f>
        <v>0</v>
      </c>
      <c r="T143">
        <f>'Metric Details'!C143</f>
        <v>0</v>
      </c>
      <c r="U143">
        <f>IF('Metric Details'!F143=$H$1,0,IF('Metric Details'!F143=$H$2,1,2))</f>
        <v>2</v>
      </c>
      <c r="V143">
        <f>LEN('Metric Details'!H143)</f>
        <v>0</v>
      </c>
      <c r="W143">
        <f t="shared" si="8"/>
        <v>2</v>
      </c>
      <c r="X143">
        <f t="shared" ca="1" si="9"/>
        <v>82</v>
      </c>
    </row>
    <row r="144" spans="18:24">
      <c r="R144">
        <f t="shared" ca="1" si="7"/>
        <v>1</v>
      </c>
      <c r="S144">
        <f>Metrics!B144</f>
        <v>0</v>
      </c>
      <c r="T144">
        <f>'Metric Details'!C144</f>
        <v>0</v>
      </c>
      <c r="U144">
        <f>IF('Metric Details'!F144=$H$1,0,IF('Metric Details'!F144=$H$2,1,2))</f>
        <v>2</v>
      </c>
      <c r="V144">
        <f>LEN('Metric Details'!H144)</f>
        <v>0</v>
      </c>
      <c r="W144">
        <f t="shared" si="8"/>
        <v>2</v>
      </c>
      <c r="X144">
        <f t="shared" ca="1" si="9"/>
        <v>82</v>
      </c>
    </row>
    <row r="145" spans="18:24">
      <c r="R145">
        <f t="shared" ca="1" si="7"/>
        <v>1</v>
      </c>
      <c r="S145">
        <f>Metrics!B145</f>
        <v>0</v>
      </c>
      <c r="T145">
        <f>'Metric Details'!C145</f>
        <v>0</v>
      </c>
      <c r="U145">
        <f>IF('Metric Details'!F145=$H$1,0,IF('Metric Details'!F145=$H$2,1,2))</f>
        <v>2</v>
      </c>
      <c r="V145">
        <f>LEN('Metric Details'!H145)</f>
        <v>0</v>
      </c>
      <c r="W145">
        <f t="shared" si="8"/>
        <v>2</v>
      </c>
      <c r="X145">
        <f t="shared" ca="1" si="9"/>
        <v>82</v>
      </c>
    </row>
    <row r="146" spans="18:24">
      <c r="R146">
        <f t="shared" ca="1" si="7"/>
        <v>1</v>
      </c>
      <c r="S146">
        <f>Metrics!B146</f>
        <v>0</v>
      </c>
      <c r="T146">
        <f>'Metric Details'!C146</f>
        <v>0</v>
      </c>
      <c r="U146">
        <f>IF('Metric Details'!F146=$H$1,0,IF('Metric Details'!F146=$H$2,1,2))</f>
        <v>2</v>
      </c>
      <c r="V146">
        <f>LEN('Metric Details'!H146)</f>
        <v>0</v>
      </c>
      <c r="W146">
        <f t="shared" si="8"/>
        <v>2</v>
      </c>
      <c r="X146">
        <f t="shared" ca="1" si="9"/>
        <v>82</v>
      </c>
    </row>
    <row r="147" spans="18:24">
      <c r="R147">
        <f t="shared" ca="1" si="7"/>
        <v>1</v>
      </c>
      <c r="S147">
        <f>Metrics!B147</f>
        <v>0</v>
      </c>
      <c r="T147">
        <f>'Metric Details'!C147</f>
        <v>0</v>
      </c>
      <c r="U147">
        <f>IF('Metric Details'!F147=$H$1,0,IF('Metric Details'!F147=$H$2,1,2))</f>
        <v>2</v>
      </c>
      <c r="V147">
        <f>LEN('Metric Details'!H147)</f>
        <v>0</v>
      </c>
      <c r="W147">
        <f t="shared" si="8"/>
        <v>2</v>
      </c>
      <c r="X147">
        <f t="shared" ca="1" si="9"/>
        <v>82</v>
      </c>
    </row>
    <row r="148" spans="18:24">
      <c r="R148">
        <f t="shared" ca="1" si="7"/>
        <v>1</v>
      </c>
      <c r="S148">
        <f>Metrics!B148</f>
        <v>0</v>
      </c>
      <c r="T148">
        <f>'Metric Details'!C148</f>
        <v>0</v>
      </c>
      <c r="U148">
        <f>IF('Metric Details'!F148=$H$1,0,IF('Metric Details'!F148=$H$2,1,2))</f>
        <v>2</v>
      </c>
      <c r="V148">
        <f>LEN('Metric Details'!H148)</f>
        <v>0</v>
      </c>
      <c r="W148">
        <f t="shared" si="8"/>
        <v>2</v>
      </c>
      <c r="X148">
        <f t="shared" ca="1" si="9"/>
        <v>82</v>
      </c>
    </row>
    <row r="149" spans="18:24">
      <c r="R149">
        <f t="shared" ca="1" si="7"/>
        <v>1</v>
      </c>
      <c r="S149">
        <f>Metrics!B149</f>
        <v>0</v>
      </c>
      <c r="T149">
        <f>'Metric Details'!C149</f>
        <v>0</v>
      </c>
      <c r="U149">
        <f>IF('Metric Details'!F149=$H$1,0,IF('Metric Details'!F149=$H$2,1,2))</f>
        <v>2</v>
      </c>
      <c r="V149">
        <f>LEN('Metric Details'!H149)</f>
        <v>0</v>
      </c>
      <c r="W149">
        <f t="shared" si="8"/>
        <v>2</v>
      </c>
      <c r="X149">
        <f t="shared" ca="1" si="9"/>
        <v>82</v>
      </c>
    </row>
    <row r="150" spans="18:24">
      <c r="R150">
        <f t="shared" ca="1" si="7"/>
        <v>1</v>
      </c>
      <c r="S150">
        <f>Metrics!B150</f>
        <v>0</v>
      </c>
      <c r="T150">
        <f>'Metric Details'!C150</f>
        <v>0</v>
      </c>
      <c r="U150">
        <f>IF('Metric Details'!F150=$H$1,0,IF('Metric Details'!F150=$H$2,1,2))</f>
        <v>2</v>
      </c>
      <c r="V150">
        <f>LEN('Metric Details'!H150)</f>
        <v>0</v>
      </c>
      <c r="W150">
        <f t="shared" si="8"/>
        <v>2</v>
      </c>
      <c r="X150">
        <f t="shared" ca="1" si="9"/>
        <v>82</v>
      </c>
    </row>
    <row r="151" spans="18:24">
      <c r="R151">
        <f t="shared" ca="1" si="7"/>
        <v>1</v>
      </c>
      <c r="S151">
        <f>Metrics!B151</f>
        <v>0</v>
      </c>
      <c r="T151">
        <f>'Metric Details'!C151</f>
        <v>0</v>
      </c>
      <c r="U151">
        <f>IF('Metric Details'!F151=$H$1,0,IF('Metric Details'!F151=$H$2,1,2))</f>
        <v>2</v>
      </c>
      <c r="V151">
        <f>LEN('Metric Details'!H151)</f>
        <v>0</v>
      </c>
      <c r="W151">
        <f t="shared" si="8"/>
        <v>2</v>
      </c>
      <c r="X151">
        <f t="shared" ca="1" si="9"/>
        <v>82</v>
      </c>
    </row>
    <row r="152" spans="18:24">
      <c r="R152">
        <f t="shared" ca="1" si="7"/>
        <v>1</v>
      </c>
      <c r="S152">
        <f>Metrics!B152</f>
        <v>0</v>
      </c>
      <c r="T152">
        <f>'Metric Details'!C152</f>
        <v>0</v>
      </c>
      <c r="U152">
        <f>IF('Metric Details'!F152=$H$1,0,IF('Metric Details'!F152=$H$2,1,2))</f>
        <v>2</v>
      </c>
      <c r="V152">
        <f>LEN('Metric Details'!H152)</f>
        <v>0</v>
      </c>
      <c r="W152">
        <f t="shared" si="8"/>
        <v>2</v>
      </c>
      <c r="X152">
        <f t="shared" ca="1" si="9"/>
        <v>82</v>
      </c>
    </row>
    <row r="153" spans="18:24">
      <c r="R153">
        <f t="shared" ca="1" si="7"/>
        <v>1</v>
      </c>
      <c r="S153">
        <f>Metrics!B153</f>
        <v>0</v>
      </c>
      <c r="T153">
        <f>'Metric Details'!C153</f>
        <v>0</v>
      </c>
      <c r="U153">
        <f>IF('Metric Details'!F153=$H$1,0,IF('Metric Details'!F153=$H$2,1,2))</f>
        <v>2</v>
      </c>
      <c r="V153">
        <f>LEN('Metric Details'!H153)</f>
        <v>0</v>
      </c>
      <c r="W153">
        <f t="shared" si="8"/>
        <v>2</v>
      </c>
      <c r="X153">
        <f t="shared" ca="1" si="9"/>
        <v>82</v>
      </c>
    </row>
    <row r="154" spans="18:24">
      <c r="R154">
        <f t="shared" ca="1" si="7"/>
        <v>1</v>
      </c>
      <c r="S154">
        <f>Metrics!B154</f>
        <v>0</v>
      </c>
      <c r="T154">
        <f>'Metric Details'!C154</f>
        <v>0</v>
      </c>
      <c r="U154">
        <f>IF('Metric Details'!F154=$H$1,0,IF('Metric Details'!F154=$H$2,1,2))</f>
        <v>2</v>
      </c>
      <c r="V154">
        <f>LEN('Metric Details'!H154)</f>
        <v>0</v>
      </c>
      <c r="W154">
        <f t="shared" si="8"/>
        <v>2</v>
      </c>
      <c r="X154">
        <f t="shared" ca="1" si="9"/>
        <v>82</v>
      </c>
    </row>
    <row r="155" spans="18:24">
      <c r="R155">
        <f t="shared" ca="1" si="7"/>
        <v>1</v>
      </c>
      <c r="S155">
        <f>Metrics!B155</f>
        <v>0</v>
      </c>
      <c r="T155">
        <f>'Metric Details'!C155</f>
        <v>0</v>
      </c>
      <c r="U155">
        <f>IF('Metric Details'!F155=$H$1,0,IF('Metric Details'!F155=$H$2,1,2))</f>
        <v>2</v>
      </c>
      <c r="V155">
        <f>LEN('Metric Details'!H155)</f>
        <v>0</v>
      </c>
      <c r="W155">
        <f t="shared" si="8"/>
        <v>2</v>
      </c>
      <c r="X155">
        <f t="shared" ca="1" si="9"/>
        <v>82</v>
      </c>
    </row>
    <row r="156" spans="18:24">
      <c r="R156">
        <f t="shared" ca="1" si="7"/>
        <v>1</v>
      </c>
      <c r="S156">
        <f>Metrics!B156</f>
        <v>0</v>
      </c>
      <c r="T156">
        <f>'Metric Details'!C156</f>
        <v>0</v>
      </c>
      <c r="U156">
        <f>IF('Metric Details'!F156=$H$1,0,IF('Metric Details'!F156=$H$2,1,2))</f>
        <v>2</v>
      </c>
      <c r="V156">
        <f>LEN('Metric Details'!H156)</f>
        <v>0</v>
      </c>
      <c r="W156">
        <f t="shared" si="8"/>
        <v>2</v>
      </c>
      <c r="X156">
        <f t="shared" ca="1" si="9"/>
        <v>82</v>
      </c>
    </row>
    <row r="157" spans="18:24">
      <c r="R157">
        <f t="shared" ca="1" si="7"/>
        <v>1</v>
      </c>
      <c r="S157">
        <f>Metrics!B157</f>
        <v>0</v>
      </c>
      <c r="T157">
        <f>'Metric Details'!C157</f>
        <v>0</v>
      </c>
      <c r="U157">
        <f>IF('Metric Details'!F157=$H$1,0,IF('Metric Details'!F157=$H$2,1,2))</f>
        <v>2</v>
      </c>
      <c r="V157">
        <f>LEN('Metric Details'!H157)</f>
        <v>0</v>
      </c>
      <c r="W157">
        <f t="shared" si="8"/>
        <v>2</v>
      </c>
      <c r="X157">
        <f t="shared" ca="1" si="9"/>
        <v>82</v>
      </c>
    </row>
    <row r="158" spans="18:24">
      <c r="R158">
        <f t="shared" ca="1" si="7"/>
        <v>1</v>
      </c>
      <c r="S158">
        <f>Metrics!B158</f>
        <v>0</v>
      </c>
      <c r="T158">
        <f>'Metric Details'!C158</f>
        <v>0</v>
      </c>
      <c r="U158">
        <f>IF('Metric Details'!F158=$H$1,0,IF('Metric Details'!F158=$H$2,1,2))</f>
        <v>2</v>
      </c>
      <c r="V158">
        <f>LEN('Metric Details'!H158)</f>
        <v>0</v>
      </c>
      <c r="W158">
        <f t="shared" si="8"/>
        <v>2</v>
      </c>
      <c r="X158">
        <f t="shared" ca="1" si="9"/>
        <v>82</v>
      </c>
    </row>
    <row r="159" spans="18:24">
      <c r="R159">
        <f t="shared" ca="1" si="7"/>
        <v>1</v>
      </c>
      <c r="S159">
        <f>Metrics!B159</f>
        <v>0</v>
      </c>
      <c r="T159">
        <f>'Metric Details'!C159</f>
        <v>0</v>
      </c>
      <c r="U159">
        <f>IF('Metric Details'!F159=$H$1,0,IF('Metric Details'!F159=$H$2,1,2))</f>
        <v>2</v>
      </c>
      <c r="V159">
        <f>LEN('Metric Details'!H159)</f>
        <v>0</v>
      </c>
      <c r="W159">
        <f t="shared" si="8"/>
        <v>2</v>
      </c>
      <c r="X159">
        <f t="shared" ca="1" si="9"/>
        <v>82</v>
      </c>
    </row>
    <row r="160" spans="18:24">
      <c r="R160">
        <f t="shared" ca="1" si="7"/>
        <v>1</v>
      </c>
      <c r="S160">
        <f>Metrics!B160</f>
        <v>0</v>
      </c>
      <c r="T160">
        <f>'Metric Details'!C160</f>
        <v>0</v>
      </c>
      <c r="U160">
        <f>IF('Metric Details'!F160=$H$1,0,IF('Metric Details'!F160=$H$2,1,2))</f>
        <v>2</v>
      </c>
      <c r="V160">
        <f>LEN('Metric Details'!H160)</f>
        <v>0</v>
      </c>
      <c r="W160">
        <f t="shared" si="8"/>
        <v>2</v>
      </c>
      <c r="X160">
        <f t="shared" ca="1" si="9"/>
        <v>82</v>
      </c>
    </row>
    <row r="161" spans="18:24">
      <c r="R161">
        <f t="shared" ca="1" si="7"/>
        <v>1</v>
      </c>
      <c r="S161">
        <f>Metrics!B161</f>
        <v>0</v>
      </c>
      <c r="T161">
        <f>'Metric Details'!C161</f>
        <v>0</v>
      </c>
      <c r="U161">
        <f>IF('Metric Details'!F161=$H$1,0,IF('Metric Details'!F161=$H$2,1,2))</f>
        <v>2</v>
      </c>
      <c r="V161">
        <f>LEN('Metric Details'!H161)</f>
        <v>0</v>
      </c>
      <c r="W161">
        <f t="shared" si="8"/>
        <v>2</v>
      </c>
      <c r="X161">
        <f t="shared" ca="1" si="9"/>
        <v>82</v>
      </c>
    </row>
    <row r="162" spans="18:24">
      <c r="R162">
        <f t="shared" ca="1" si="7"/>
        <v>1</v>
      </c>
      <c r="S162">
        <f>Metrics!B162</f>
        <v>0</v>
      </c>
      <c r="T162">
        <f>'Metric Details'!C162</f>
        <v>0</v>
      </c>
      <c r="U162">
        <f>IF('Metric Details'!F162=$H$1,0,IF('Metric Details'!F162=$H$2,1,2))</f>
        <v>2</v>
      </c>
      <c r="V162">
        <f>LEN('Metric Details'!H162)</f>
        <v>0</v>
      </c>
      <c r="W162">
        <f t="shared" si="8"/>
        <v>2</v>
      </c>
      <c r="X162">
        <f t="shared" ca="1" si="9"/>
        <v>82</v>
      </c>
    </row>
    <row r="163" spans="18:24">
      <c r="R163">
        <f t="shared" ca="1" si="7"/>
        <v>1</v>
      </c>
      <c r="S163">
        <f>Metrics!B163</f>
        <v>0</v>
      </c>
      <c r="T163">
        <f>'Metric Details'!C163</f>
        <v>0</v>
      </c>
      <c r="U163">
        <f>IF('Metric Details'!F163=$H$1,0,IF('Metric Details'!F163=$H$2,1,2))</f>
        <v>2</v>
      </c>
      <c r="V163">
        <f>LEN('Metric Details'!H163)</f>
        <v>0</v>
      </c>
      <c r="W163">
        <f t="shared" si="8"/>
        <v>2</v>
      </c>
      <c r="X163">
        <f t="shared" ca="1" si="9"/>
        <v>82</v>
      </c>
    </row>
    <row r="164" spans="18:24">
      <c r="R164">
        <f t="shared" ca="1" si="7"/>
        <v>1</v>
      </c>
      <c r="S164">
        <f>Metrics!B164</f>
        <v>0</v>
      </c>
      <c r="T164">
        <f>'Metric Details'!C164</f>
        <v>0</v>
      </c>
      <c r="U164">
        <f>IF('Metric Details'!F164=$H$1,0,IF('Metric Details'!F164=$H$2,1,2))</f>
        <v>2</v>
      </c>
      <c r="V164">
        <f>LEN('Metric Details'!H164)</f>
        <v>0</v>
      </c>
      <c r="W164">
        <f t="shared" si="8"/>
        <v>2</v>
      </c>
      <c r="X164">
        <f t="shared" ca="1" si="9"/>
        <v>82</v>
      </c>
    </row>
    <row r="165" spans="18:24">
      <c r="R165">
        <f t="shared" ca="1" si="7"/>
        <v>1</v>
      </c>
      <c r="S165">
        <f>Metrics!B165</f>
        <v>0</v>
      </c>
      <c r="T165">
        <f>'Metric Details'!C165</f>
        <v>0</v>
      </c>
      <c r="U165">
        <f>IF('Metric Details'!F165=$H$1,0,IF('Metric Details'!F165=$H$2,1,2))</f>
        <v>2</v>
      </c>
      <c r="V165">
        <f>LEN('Metric Details'!H165)</f>
        <v>0</v>
      </c>
      <c r="W165">
        <f t="shared" si="8"/>
        <v>2</v>
      </c>
      <c r="X165">
        <f t="shared" ca="1" si="9"/>
        <v>82</v>
      </c>
    </row>
    <row r="166" spans="18:24">
      <c r="R166">
        <f t="shared" ca="1" si="7"/>
        <v>1</v>
      </c>
      <c r="S166">
        <f>Metrics!B166</f>
        <v>0</v>
      </c>
      <c r="T166">
        <f>'Metric Details'!C166</f>
        <v>0</v>
      </c>
      <c r="U166">
        <f>IF('Metric Details'!F166=$H$1,0,IF('Metric Details'!F166=$H$2,1,2))</f>
        <v>2</v>
      </c>
      <c r="V166">
        <f>LEN('Metric Details'!H166)</f>
        <v>0</v>
      </c>
      <c r="W166">
        <f t="shared" si="8"/>
        <v>2</v>
      </c>
      <c r="X166">
        <f t="shared" ca="1" si="9"/>
        <v>82</v>
      </c>
    </row>
    <row r="167" spans="18:24">
      <c r="R167">
        <f t="shared" ca="1" si="7"/>
        <v>1</v>
      </c>
      <c r="S167">
        <f>Metrics!B167</f>
        <v>0</v>
      </c>
      <c r="T167">
        <f>'Metric Details'!C167</f>
        <v>0</v>
      </c>
      <c r="U167">
        <f>IF('Metric Details'!F167=$H$1,0,IF('Metric Details'!F167=$H$2,1,2))</f>
        <v>2</v>
      </c>
      <c r="V167">
        <f>LEN('Metric Details'!H167)</f>
        <v>0</v>
      </c>
      <c r="W167">
        <f t="shared" si="8"/>
        <v>2</v>
      </c>
      <c r="X167">
        <f t="shared" ca="1" si="9"/>
        <v>82</v>
      </c>
    </row>
    <row r="168" spans="18:24">
      <c r="R168">
        <f t="shared" ca="1" si="7"/>
        <v>1</v>
      </c>
      <c r="S168">
        <f>Metrics!B168</f>
        <v>0</v>
      </c>
      <c r="T168">
        <f>'Metric Details'!C168</f>
        <v>0</v>
      </c>
      <c r="U168">
        <f>IF('Metric Details'!F168=$H$1,0,IF('Metric Details'!F168=$H$2,1,2))</f>
        <v>2</v>
      </c>
      <c r="V168">
        <f>LEN('Metric Details'!H168)</f>
        <v>0</v>
      </c>
      <c r="W168">
        <f t="shared" si="8"/>
        <v>2</v>
      </c>
      <c r="X168">
        <f t="shared" ca="1" si="9"/>
        <v>82</v>
      </c>
    </row>
    <row r="169" spans="18:24">
      <c r="R169">
        <f t="shared" ca="1" si="7"/>
        <v>1</v>
      </c>
      <c r="S169">
        <f>Metrics!B169</f>
        <v>0</v>
      </c>
      <c r="T169">
        <f>'Metric Details'!C169</f>
        <v>0</v>
      </c>
      <c r="U169">
        <f>IF('Metric Details'!F169=$H$1,0,IF('Metric Details'!F169=$H$2,1,2))</f>
        <v>2</v>
      </c>
      <c r="V169">
        <f>LEN('Metric Details'!H169)</f>
        <v>0</v>
      </c>
      <c r="W169">
        <f t="shared" si="8"/>
        <v>2</v>
      </c>
      <c r="X169">
        <f t="shared" ca="1" si="9"/>
        <v>82</v>
      </c>
    </row>
    <row r="170" spans="18:24">
      <c r="R170">
        <f t="shared" ca="1" si="7"/>
        <v>1</v>
      </c>
      <c r="S170">
        <f>Metrics!B170</f>
        <v>0</v>
      </c>
      <c r="T170">
        <f>'Metric Details'!C170</f>
        <v>0</v>
      </c>
      <c r="U170">
        <f>IF('Metric Details'!F170=$H$1,0,IF('Metric Details'!F170=$H$2,1,2))</f>
        <v>2</v>
      </c>
      <c r="V170">
        <f>LEN('Metric Details'!H170)</f>
        <v>0</v>
      </c>
      <c r="W170">
        <f t="shared" si="8"/>
        <v>2</v>
      </c>
      <c r="X170">
        <f t="shared" ca="1" si="9"/>
        <v>82</v>
      </c>
    </row>
    <row r="171" spans="18:24">
      <c r="R171">
        <f t="shared" ca="1" si="7"/>
        <v>1</v>
      </c>
      <c r="S171">
        <f>Metrics!B171</f>
        <v>0</v>
      </c>
      <c r="T171">
        <f>'Metric Details'!C171</f>
        <v>0</v>
      </c>
      <c r="U171">
        <f>IF('Metric Details'!F171=$H$1,0,IF('Metric Details'!F171=$H$2,1,2))</f>
        <v>2</v>
      </c>
      <c r="V171">
        <f>LEN('Metric Details'!H171)</f>
        <v>0</v>
      </c>
      <c r="W171">
        <f t="shared" si="8"/>
        <v>2</v>
      </c>
      <c r="X171">
        <f t="shared" ca="1" si="9"/>
        <v>82</v>
      </c>
    </row>
    <row r="172" spans="18:24">
      <c r="R172">
        <f t="shared" ca="1" si="7"/>
        <v>1</v>
      </c>
      <c r="S172">
        <f>Metrics!B172</f>
        <v>0</v>
      </c>
      <c r="T172">
        <f>'Metric Details'!C172</f>
        <v>0</v>
      </c>
      <c r="U172">
        <f>IF('Metric Details'!F172=$H$1,0,IF('Metric Details'!F172=$H$2,1,2))</f>
        <v>2</v>
      </c>
      <c r="V172">
        <f>LEN('Metric Details'!H172)</f>
        <v>0</v>
      </c>
      <c r="W172">
        <f t="shared" si="8"/>
        <v>2</v>
      </c>
      <c r="X172">
        <f t="shared" ca="1" si="9"/>
        <v>82</v>
      </c>
    </row>
    <row r="173" spans="18:24">
      <c r="R173">
        <f t="shared" ca="1" si="7"/>
        <v>1</v>
      </c>
      <c r="S173">
        <f>Metrics!B173</f>
        <v>0</v>
      </c>
      <c r="T173">
        <f>'Metric Details'!C173</f>
        <v>0</v>
      </c>
      <c r="U173">
        <f>IF('Metric Details'!F173=$H$1,0,IF('Metric Details'!F173=$H$2,1,2))</f>
        <v>2</v>
      </c>
      <c r="V173">
        <f>LEN('Metric Details'!H173)</f>
        <v>0</v>
      </c>
      <c r="W173">
        <f t="shared" si="8"/>
        <v>2</v>
      </c>
      <c r="X173">
        <f t="shared" ca="1" si="9"/>
        <v>82</v>
      </c>
    </row>
    <row r="174" spans="18:24">
      <c r="R174">
        <f t="shared" ca="1" si="7"/>
        <v>1</v>
      </c>
      <c r="S174">
        <f>Metrics!B174</f>
        <v>0</v>
      </c>
      <c r="T174">
        <f>'Metric Details'!C174</f>
        <v>0</v>
      </c>
      <c r="U174">
        <f>IF('Metric Details'!F174=$H$1,0,IF('Metric Details'!F174=$H$2,1,2))</f>
        <v>2</v>
      </c>
      <c r="V174">
        <f>LEN('Metric Details'!H174)</f>
        <v>0</v>
      </c>
      <c r="W174">
        <f t="shared" si="8"/>
        <v>2</v>
      </c>
      <c r="X174">
        <f t="shared" ca="1" si="9"/>
        <v>82</v>
      </c>
    </row>
    <row r="175" spans="18:24">
      <c r="R175">
        <f t="shared" ca="1" si="7"/>
        <v>1</v>
      </c>
      <c r="S175">
        <f>Metrics!B175</f>
        <v>0</v>
      </c>
      <c r="T175">
        <f>'Metric Details'!C175</f>
        <v>0</v>
      </c>
      <c r="U175">
        <f>IF('Metric Details'!F175=$H$1,0,IF('Metric Details'!F175=$H$2,1,2))</f>
        <v>2</v>
      </c>
      <c r="V175">
        <f>LEN('Metric Details'!H175)</f>
        <v>0</v>
      </c>
      <c r="W175">
        <f t="shared" si="8"/>
        <v>2</v>
      </c>
      <c r="X175">
        <f t="shared" ca="1" si="9"/>
        <v>82</v>
      </c>
    </row>
    <row r="176" spans="18:24">
      <c r="R176">
        <f t="shared" ca="1" si="7"/>
        <v>1</v>
      </c>
      <c r="S176">
        <f>Metrics!B176</f>
        <v>0</v>
      </c>
      <c r="T176">
        <f>'Metric Details'!C176</f>
        <v>0</v>
      </c>
      <c r="U176">
        <f>IF('Metric Details'!F176=$H$1,0,IF('Metric Details'!F176=$H$2,1,2))</f>
        <v>2</v>
      </c>
      <c r="V176">
        <f>LEN('Metric Details'!H176)</f>
        <v>0</v>
      </c>
      <c r="W176">
        <f t="shared" si="8"/>
        <v>2</v>
      </c>
      <c r="X176">
        <f t="shared" ca="1" si="9"/>
        <v>82</v>
      </c>
    </row>
    <row r="177" spans="18:24">
      <c r="R177">
        <f t="shared" ca="1" si="7"/>
        <v>1</v>
      </c>
      <c r="S177">
        <f>Metrics!B177</f>
        <v>0</v>
      </c>
      <c r="T177">
        <f>'Metric Details'!C177</f>
        <v>0</v>
      </c>
      <c r="U177">
        <f>IF('Metric Details'!F177=$H$1,0,IF('Metric Details'!F177=$H$2,1,2))</f>
        <v>2</v>
      </c>
      <c r="V177">
        <f>LEN('Metric Details'!H177)</f>
        <v>0</v>
      </c>
      <c r="W177">
        <f t="shared" si="8"/>
        <v>2</v>
      </c>
      <c r="X177">
        <f t="shared" ca="1" si="9"/>
        <v>82</v>
      </c>
    </row>
    <row r="178" spans="18:24">
      <c r="R178">
        <f t="shared" ca="1" si="7"/>
        <v>1</v>
      </c>
      <c r="S178">
        <f>Metrics!B178</f>
        <v>0</v>
      </c>
      <c r="T178">
        <f>'Metric Details'!C178</f>
        <v>0</v>
      </c>
      <c r="U178">
        <f>IF('Metric Details'!F178=$H$1,0,IF('Metric Details'!F178=$H$2,1,2))</f>
        <v>2</v>
      </c>
      <c r="V178">
        <f>LEN('Metric Details'!H178)</f>
        <v>0</v>
      </c>
      <c r="W178">
        <f t="shared" si="8"/>
        <v>2</v>
      </c>
      <c r="X178">
        <f t="shared" ca="1" si="9"/>
        <v>82</v>
      </c>
    </row>
    <row r="179" spans="18:24">
      <c r="R179">
        <f t="shared" ca="1" si="7"/>
        <v>1</v>
      </c>
      <c r="S179">
        <f>Metrics!B179</f>
        <v>0</v>
      </c>
      <c r="T179">
        <f>'Metric Details'!C179</f>
        <v>0</v>
      </c>
      <c r="U179">
        <f>IF('Metric Details'!F179=$H$1,0,IF('Metric Details'!F179=$H$2,1,2))</f>
        <v>2</v>
      </c>
      <c r="V179">
        <f>LEN('Metric Details'!H179)</f>
        <v>0</v>
      </c>
      <c r="W179">
        <f t="shared" si="8"/>
        <v>2</v>
      </c>
      <c r="X179">
        <f t="shared" ca="1" si="9"/>
        <v>82</v>
      </c>
    </row>
    <row r="180" spans="18:24">
      <c r="R180">
        <f t="shared" ca="1" si="7"/>
        <v>1</v>
      </c>
      <c r="S180">
        <f>Metrics!B180</f>
        <v>0</v>
      </c>
      <c r="T180">
        <f>'Metric Details'!C180</f>
        <v>0</v>
      </c>
      <c r="U180">
        <f>IF('Metric Details'!F180=$H$1,0,IF('Metric Details'!F180=$H$2,1,2))</f>
        <v>2</v>
      </c>
      <c r="V180">
        <f>LEN('Metric Details'!H180)</f>
        <v>0</v>
      </c>
      <c r="W180">
        <f t="shared" si="8"/>
        <v>2</v>
      </c>
      <c r="X180">
        <f t="shared" ca="1" si="9"/>
        <v>82</v>
      </c>
    </row>
    <row r="181" spans="18:24">
      <c r="R181">
        <f t="shared" ca="1" si="7"/>
        <v>1</v>
      </c>
      <c r="S181">
        <f>Metrics!B181</f>
        <v>0</v>
      </c>
      <c r="T181">
        <f>'Metric Details'!C181</f>
        <v>0</v>
      </c>
      <c r="U181">
        <f>IF('Metric Details'!F181=$H$1,0,IF('Metric Details'!F181=$H$2,1,2))</f>
        <v>2</v>
      </c>
      <c r="V181">
        <f>LEN('Metric Details'!H181)</f>
        <v>0</v>
      </c>
      <c r="W181">
        <f t="shared" si="8"/>
        <v>2</v>
      </c>
      <c r="X181">
        <f t="shared" ca="1" si="9"/>
        <v>82</v>
      </c>
    </row>
    <row r="182" spans="18:24">
      <c r="R182">
        <f t="shared" ca="1" si="7"/>
        <v>1</v>
      </c>
      <c r="S182">
        <f>Metrics!B182</f>
        <v>0</v>
      </c>
      <c r="T182">
        <f>'Metric Details'!C182</f>
        <v>0</v>
      </c>
      <c r="U182">
        <f>IF('Metric Details'!F182=$H$1,0,IF('Metric Details'!F182=$H$2,1,2))</f>
        <v>2</v>
      </c>
      <c r="V182">
        <f>LEN('Metric Details'!H182)</f>
        <v>0</v>
      </c>
      <c r="W182">
        <f t="shared" si="8"/>
        <v>2</v>
      </c>
      <c r="X182">
        <f t="shared" ca="1" si="9"/>
        <v>82</v>
      </c>
    </row>
    <row r="183" spans="18:24">
      <c r="R183">
        <f t="shared" ca="1" si="7"/>
        <v>1</v>
      </c>
      <c r="S183">
        <f>Metrics!B183</f>
        <v>0</v>
      </c>
      <c r="T183">
        <f>'Metric Details'!C183</f>
        <v>0</v>
      </c>
      <c r="U183">
        <f>IF('Metric Details'!F183=$H$1,0,IF('Metric Details'!F183=$H$2,1,2))</f>
        <v>2</v>
      </c>
      <c r="V183">
        <f>LEN('Metric Details'!H183)</f>
        <v>0</v>
      </c>
      <c r="W183">
        <f t="shared" si="8"/>
        <v>2</v>
      </c>
      <c r="X183">
        <f t="shared" ca="1" si="9"/>
        <v>82</v>
      </c>
    </row>
    <row r="184" spans="18:24">
      <c r="R184">
        <f t="shared" ca="1" si="7"/>
        <v>1</v>
      </c>
      <c r="S184">
        <f>Metrics!B184</f>
        <v>0</v>
      </c>
      <c r="T184">
        <f>'Metric Details'!C184</f>
        <v>0</v>
      </c>
      <c r="U184">
        <f>IF('Metric Details'!F184=$H$1,0,IF('Metric Details'!F184=$H$2,1,2))</f>
        <v>2</v>
      </c>
      <c r="V184">
        <f>LEN('Metric Details'!H184)</f>
        <v>0</v>
      </c>
      <c r="W184">
        <f t="shared" si="8"/>
        <v>2</v>
      </c>
      <c r="X184">
        <f t="shared" ca="1" si="9"/>
        <v>82</v>
      </c>
    </row>
    <row r="185" spans="18:24">
      <c r="R185">
        <f t="shared" ca="1" si="7"/>
        <v>1</v>
      </c>
      <c r="S185">
        <f>Metrics!B185</f>
        <v>0</v>
      </c>
      <c r="T185">
        <f>'Metric Details'!C185</f>
        <v>0</v>
      </c>
      <c r="U185">
        <f>IF('Metric Details'!F185=$H$1,0,IF('Metric Details'!F185=$H$2,1,2))</f>
        <v>2</v>
      </c>
      <c r="V185">
        <f>LEN('Metric Details'!H185)</f>
        <v>0</v>
      </c>
      <c r="W185">
        <f t="shared" si="8"/>
        <v>2</v>
      </c>
      <c r="X185">
        <f t="shared" ca="1" si="9"/>
        <v>82</v>
      </c>
    </row>
    <row r="186" spans="18:24">
      <c r="R186">
        <f t="shared" ca="1" si="7"/>
        <v>1</v>
      </c>
      <c r="S186">
        <f>Metrics!B186</f>
        <v>0</v>
      </c>
      <c r="T186">
        <f>'Metric Details'!C186</f>
        <v>0</v>
      </c>
      <c r="U186">
        <f>IF('Metric Details'!F186=$H$1,0,IF('Metric Details'!F186=$H$2,1,2))</f>
        <v>2</v>
      </c>
      <c r="V186">
        <f>LEN('Metric Details'!H186)</f>
        <v>0</v>
      </c>
      <c r="W186">
        <f t="shared" si="8"/>
        <v>2</v>
      </c>
      <c r="X186">
        <f t="shared" ca="1" si="9"/>
        <v>82</v>
      </c>
    </row>
    <row r="187" spans="18:24">
      <c r="R187">
        <f t="shared" ca="1" si="7"/>
        <v>1</v>
      </c>
      <c r="S187">
        <f>Metrics!B187</f>
        <v>0</v>
      </c>
      <c r="T187">
        <f>'Metric Details'!C187</f>
        <v>0</v>
      </c>
      <c r="U187">
        <f>IF('Metric Details'!F187=$H$1,0,IF('Metric Details'!F187=$H$2,1,2))</f>
        <v>2</v>
      </c>
      <c r="V187">
        <f>LEN('Metric Details'!H187)</f>
        <v>0</v>
      </c>
      <c r="W187">
        <f t="shared" si="8"/>
        <v>2</v>
      </c>
      <c r="X187">
        <f t="shared" ca="1" si="9"/>
        <v>82</v>
      </c>
    </row>
    <row r="188" spans="18:24">
      <c r="R188">
        <f t="shared" ca="1" si="7"/>
        <v>1</v>
      </c>
      <c r="S188">
        <f>Metrics!B188</f>
        <v>0</v>
      </c>
      <c r="T188">
        <f>'Metric Details'!C188</f>
        <v>0</v>
      </c>
      <c r="U188">
        <f>IF('Metric Details'!F188=$H$1,0,IF('Metric Details'!F188=$H$2,1,2))</f>
        <v>2</v>
      </c>
      <c r="V188">
        <f>LEN('Metric Details'!H188)</f>
        <v>0</v>
      </c>
      <c r="W188">
        <f t="shared" si="8"/>
        <v>2</v>
      </c>
      <c r="X188">
        <f t="shared" ca="1" si="9"/>
        <v>82</v>
      </c>
    </row>
    <row r="189" spans="18:24">
      <c r="R189">
        <f t="shared" ca="1" si="7"/>
        <v>1</v>
      </c>
      <c r="S189">
        <f>Metrics!B189</f>
        <v>0</v>
      </c>
      <c r="T189">
        <f>'Metric Details'!C189</f>
        <v>0</v>
      </c>
      <c r="U189">
        <f>IF('Metric Details'!F189=$H$1,0,IF('Metric Details'!F189=$H$2,1,2))</f>
        <v>2</v>
      </c>
      <c r="V189">
        <f>LEN('Metric Details'!H189)</f>
        <v>0</v>
      </c>
      <c r="W189">
        <f t="shared" si="8"/>
        <v>2</v>
      </c>
      <c r="X189">
        <f t="shared" ca="1" si="9"/>
        <v>82</v>
      </c>
    </row>
    <row r="190" spans="18:24">
      <c r="R190">
        <f t="shared" ca="1" si="7"/>
        <v>1</v>
      </c>
      <c r="S190">
        <f>Metrics!B190</f>
        <v>0</v>
      </c>
      <c r="T190">
        <f>'Metric Details'!C190</f>
        <v>0</v>
      </c>
      <c r="U190">
        <f>IF('Metric Details'!F190=$H$1,0,IF('Metric Details'!F190=$H$2,1,2))</f>
        <v>2</v>
      </c>
      <c r="V190">
        <f>LEN('Metric Details'!H190)</f>
        <v>0</v>
      </c>
      <c r="W190">
        <f t="shared" si="8"/>
        <v>2</v>
      </c>
      <c r="X190">
        <f t="shared" ca="1" si="9"/>
        <v>82</v>
      </c>
    </row>
    <row r="191" spans="18:24">
      <c r="R191">
        <f t="shared" ca="1" si="7"/>
        <v>1</v>
      </c>
      <c r="S191">
        <f>Metrics!B191</f>
        <v>0</v>
      </c>
      <c r="T191">
        <f>'Metric Details'!C191</f>
        <v>0</v>
      </c>
      <c r="U191">
        <f>IF('Metric Details'!F191=$H$1,0,IF('Metric Details'!F191=$H$2,1,2))</f>
        <v>2</v>
      </c>
      <c r="V191">
        <f>LEN('Metric Details'!H191)</f>
        <v>0</v>
      </c>
      <c r="W191">
        <f t="shared" si="8"/>
        <v>2</v>
      </c>
      <c r="X191">
        <f t="shared" ca="1" si="9"/>
        <v>82</v>
      </c>
    </row>
    <row r="192" spans="18:24">
      <c r="R192">
        <f t="shared" ca="1" si="7"/>
        <v>1</v>
      </c>
      <c r="S192">
        <f>Metrics!B192</f>
        <v>0</v>
      </c>
      <c r="T192">
        <f>'Metric Details'!C192</f>
        <v>0</v>
      </c>
      <c r="U192">
        <f>IF('Metric Details'!F192=$H$1,0,IF('Metric Details'!F192=$H$2,1,2))</f>
        <v>2</v>
      </c>
      <c r="V192">
        <f>LEN('Metric Details'!H192)</f>
        <v>0</v>
      </c>
      <c r="W192">
        <f t="shared" si="8"/>
        <v>2</v>
      </c>
      <c r="X192">
        <f t="shared" ca="1" si="9"/>
        <v>82</v>
      </c>
    </row>
    <row r="193" spans="18:24">
      <c r="R193">
        <f t="shared" ca="1" si="7"/>
        <v>1</v>
      </c>
      <c r="S193">
        <f>Metrics!B193</f>
        <v>0</v>
      </c>
      <c r="T193">
        <f>'Metric Details'!C193</f>
        <v>0</v>
      </c>
      <c r="U193">
        <f>IF('Metric Details'!F193=$H$1,0,IF('Metric Details'!F193=$H$2,1,2))</f>
        <v>2</v>
      </c>
      <c r="V193">
        <f>LEN('Metric Details'!H193)</f>
        <v>0</v>
      </c>
      <c r="W193">
        <f t="shared" si="8"/>
        <v>2</v>
      </c>
      <c r="X193">
        <f t="shared" ca="1" si="9"/>
        <v>82</v>
      </c>
    </row>
    <row r="194" spans="18:24">
      <c r="R194">
        <f t="shared" ca="1" si="7"/>
        <v>1</v>
      </c>
      <c r="S194">
        <f>Metrics!B194</f>
        <v>0</v>
      </c>
      <c r="T194">
        <f>'Metric Details'!C194</f>
        <v>0</v>
      </c>
      <c r="U194">
        <f>IF('Metric Details'!F194=$H$1,0,IF('Metric Details'!F194=$H$2,1,2))</f>
        <v>2</v>
      </c>
      <c r="V194">
        <f>LEN('Metric Details'!H194)</f>
        <v>0</v>
      </c>
      <c r="W194">
        <f t="shared" si="8"/>
        <v>2</v>
      </c>
      <c r="X194">
        <f t="shared" ca="1" si="9"/>
        <v>82</v>
      </c>
    </row>
    <row r="195" spans="18:24">
      <c r="R195">
        <f t="shared" ref="R195:R258" ca="1" si="10">IF(INDEX(W:W,X195)&gt;0,1,0)</f>
        <v>1</v>
      </c>
      <c r="S195">
        <f>Metrics!B195</f>
        <v>0</v>
      </c>
      <c r="T195">
        <f>'Metric Details'!C195</f>
        <v>0</v>
      </c>
      <c r="U195">
        <f>IF('Metric Details'!F195=$H$1,0,IF('Metric Details'!F195=$H$2,1,2))</f>
        <v>2</v>
      </c>
      <c r="V195">
        <f>LEN('Metric Details'!H195)</f>
        <v>0</v>
      </c>
      <c r="W195">
        <f t="shared" ref="W195:W258" si="11">IF(V195&gt;0,2,U195)</f>
        <v>2</v>
      </c>
      <c r="X195">
        <f t="shared" ca="1" si="9"/>
        <v>82</v>
      </c>
    </row>
    <row r="196" spans="18:24">
      <c r="R196">
        <f t="shared" ca="1" si="10"/>
        <v>1</v>
      </c>
      <c r="S196">
        <f>Metrics!B196</f>
        <v>0</v>
      </c>
      <c r="T196">
        <f>'Metric Details'!C196</f>
        <v>0</v>
      </c>
      <c r="U196">
        <f>IF('Metric Details'!F196=$H$1,0,IF('Metric Details'!F196=$H$2,1,2))</f>
        <v>2</v>
      </c>
      <c r="V196">
        <f>LEN('Metric Details'!H196)</f>
        <v>0</v>
      </c>
      <c r="W196">
        <f t="shared" si="11"/>
        <v>2</v>
      </c>
      <c r="X196">
        <f t="shared" ca="1" si="9"/>
        <v>82</v>
      </c>
    </row>
    <row r="197" spans="18:24">
      <c r="R197">
        <f t="shared" ca="1" si="10"/>
        <v>1</v>
      </c>
      <c r="S197">
        <f>Metrics!B197</f>
        <v>0</v>
      </c>
      <c r="T197">
        <f>'Metric Details'!C197</f>
        <v>0</v>
      </c>
      <c r="U197">
        <f>IF('Metric Details'!F197=$H$1,0,IF('Metric Details'!F197=$H$2,1,2))</f>
        <v>2</v>
      </c>
      <c r="V197">
        <f>LEN('Metric Details'!H197)</f>
        <v>0</v>
      </c>
      <c r="W197">
        <f t="shared" si="11"/>
        <v>2</v>
      </c>
      <c r="X197">
        <f t="shared" ca="1" si="9"/>
        <v>82</v>
      </c>
    </row>
    <row r="198" spans="18:24">
      <c r="R198">
        <f t="shared" ca="1" si="10"/>
        <v>1</v>
      </c>
      <c r="S198">
        <f>Metrics!B198</f>
        <v>0</v>
      </c>
      <c r="T198">
        <f>'Metric Details'!C198</f>
        <v>0</v>
      </c>
      <c r="U198">
        <f>IF('Metric Details'!F198=$H$1,0,IF('Metric Details'!F198=$H$2,1,2))</f>
        <v>2</v>
      </c>
      <c r="V198">
        <f>LEN('Metric Details'!H198)</f>
        <v>0</v>
      </c>
      <c r="W198">
        <f t="shared" si="11"/>
        <v>2</v>
      </c>
      <c r="X198">
        <f t="shared" ref="X198:X261" ca="1" si="12">ROW(INDIRECT(ADDRESS(MATCH(S198,T:T,0),COLUMN(T198),1)))</f>
        <v>82</v>
      </c>
    </row>
    <row r="199" spans="18:24">
      <c r="R199">
        <f t="shared" ca="1" si="10"/>
        <v>1</v>
      </c>
      <c r="S199">
        <f>Metrics!B199</f>
        <v>0</v>
      </c>
      <c r="T199">
        <f>'Metric Details'!C199</f>
        <v>0</v>
      </c>
      <c r="U199">
        <f>IF('Metric Details'!F199=$H$1,0,IF('Metric Details'!F199=$H$2,1,2))</f>
        <v>2</v>
      </c>
      <c r="V199">
        <f>LEN('Metric Details'!H199)</f>
        <v>0</v>
      </c>
      <c r="W199">
        <f t="shared" si="11"/>
        <v>2</v>
      </c>
      <c r="X199">
        <f t="shared" ca="1" si="12"/>
        <v>82</v>
      </c>
    </row>
    <row r="200" spans="18:24">
      <c r="R200">
        <f t="shared" ca="1" si="10"/>
        <v>1</v>
      </c>
      <c r="S200">
        <f>Metrics!B200</f>
        <v>0</v>
      </c>
      <c r="T200">
        <f>'Metric Details'!C200</f>
        <v>0</v>
      </c>
      <c r="U200">
        <f>IF('Metric Details'!F200=$H$1,0,IF('Metric Details'!F200=$H$2,1,2))</f>
        <v>2</v>
      </c>
      <c r="V200">
        <f>LEN('Metric Details'!H200)</f>
        <v>0</v>
      </c>
      <c r="W200">
        <f t="shared" si="11"/>
        <v>2</v>
      </c>
      <c r="X200">
        <f t="shared" ca="1" si="12"/>
        <v>82</v>
      </c>
    </row>
    <row r="201" spans="18:24">
      <c r="R201">
        <f t="shared" ca="1" si="10"/>
        <v>1</v>
      </c>
      <c r="S201">
        <f>Metrics!B201</f>
        <v>0</v>
      </c>
      <c r="T201">
        <f>'Metric Details'!C201</f>
        <v>0</v>
      </c>
      <c r="U201">
        <f>IF('Metric Details'!F201=$H$1,0,IF('Metric Details'!F201=$H$2,1,2))</f>
        <v>2</v>
      </c>
      <c r="V201">
        <f>LEN('Metric Details'!H201)</f>
        <v>0</v>
      </c>
      <c r="W201">
        <f t="shared" si="11"/>
        <v>2</v>
      </c>
      <c r="X201">
        <f t="shared" ca="1" si="12"/>
        <v>82</v>
      </c>
    </row>
    <row r="202" spans="18:24">
      <c r="R202">
        <f t="shared" ca="1" si="10"/>
        <v>1</v>
      </c>
      <c r="S202">
        <f>Metrics!B202</f>
        <v>0</v>
      </c>
      <c r="T202">
        <f>'Metric Details'!C202</f>
        <v>0</v>
      </c>
      <c r="U202">
        <f>IF('Metric Details'!F202=$H$1,0,IF('Metric Details'!F202=$H$2,1,2))</f>
        <v>2</v>
      </c>
      <c r="V202">
        <f>LEN('Metric Details'!H202)</f>
        <v>0</v>
      </c>
      <c r="W202">
        <f t="shared" si="11"/>
        <v>2</v>
      </c>
      <c r="X202">
        <f t="shared" ca="1" si="12"/>
        <v>82</v>
      </c>
    </row>
    <row r="203" spans="18:24">
      <c r="R203">
        <f t="shared" ca="1" si="10"/>
        <v>1</v>
      </c>
      <c r="S203">
        <f>Metrics!B203</f>
        <v>0</v>
      </c>
      <c r="T203">
        <f>'Metric Details'!C203</f>
        <v>0</v>
      </c>
      <c r="U203">
        <f>IF('Metric Details'!F203=$H$1,0,IF('Metric Details'!F203=$H$2,1,2))</f>
        <v>2</v>
      </c>
      <c r="V203">
        <f>LEN('Metric Details'!H203)</f>
        <v>0</v>
      </c>
      <c r="W203">
        <f t="shared" si="11"/>
        <v>2</v>
      </c>
      <c r="X203">
        <f t="shared" ca="1" si="12"/>
        <v>82</v>
      </c>
    </row>
    <row r="204" spans="18:24">
      <c r="R204">
        <f t="shared" ca="1" si="10"/>
        <v>1</v>
      </c>
      <c r="S204">
        <f>Metrics!B204</f>
        <v>0</v>
      </c>
      <c r="T204">
        <f>'Metric Details'!C204</f>
        <v>0</v>
      </c>
      <c r="U204">
        <f>IF('Metric Details'!F204=$H$1,0,IF('Metric Details'!F204=$H$2,1,2))</f>
        <v>2</v>
      </c>
      <c r="V204">
        <f>LEN('Metric Details'!H204)</f>
        <v>0</v>
      </c>
      <c r="W204">
        <f t="shared" si="11"/>
        <v>2</v>
      </c>
      <c r="X204">
        <f t="shared" ca="1" si="12"/>
        <v>82</v>
      </c>
    </row>
    <row r="205" spans="18:24">
      <c r="R205">
        <f t="shared" ca="1" si="10"/>
        <v>1</v>
      </c>
      <c r="S205">
        <f>Metrics!B205</f>
        <v>0</v>
      </c>
      <c r="T205">
        <f>'Metric Details'!C205</f>
        <v>0</v>
      </c>
      <c r="U205">
        <f>IF('Metric Details'!F205=$H$1,0,IF('Metric Details'!F205=$H$2,1,2))</f>
        <v>2</v>
      </c>
      <c r="V205">
        <f>LEN('Metric Details'!H205)</f>
        <v>0</v>
      </c>
      <c r="W205">
        <f t="shared" si="11"/>
        <v>2</v>
      </c>
      <c r="X205">
        <f t="shared" ca="1" si="12"/>
        <v>82</v>
      </c>
    </row>
    <row r="206" spans="18:24">
      <c r="R206">
        <f t="shared" ca="1" si="10"/>
        <v>1</v>
      </c>
      <c r="S206">
        <f>Metrics!B206</f>
        <v>0</v>
      </c>
      <c r="T206">
        <f>'Metric Details'!C206</f>
        <v>0</v>
      </c>
      <c r="U206">
        <f>IF('Metric Details'!F206=$H$1,0,IF('Metric Details'!F206=$H$2,1,2))</f>
        <v>2</v>
      </c>
      <c r="V206">
        <f>LEN('Metric Details'!H206)</f>
        <v>0</v>
      </c>
      <c r="W206">
        <f t="shared" si="11"/>
        <v>2</v>
      </c>
      <c r="X206">
        <f t="shared" ca="1" si="12"/>
        <v>82</v>
      </c>
    </row>
    <row r="207" spans="18:24">
      <c r="R207">
        <f t="shared" ca="1" si="10"/>
        <v>1</v>
      </c>
      <c r="S207">
        <f>Metrics!B207</f>
        <v>0</v>
      </c>
      <c r="T207">
        <f>'Metric Details'!C207</f>
        <v>0</v>
      </c>
      <c r="U207">
        <f>IF('Metric Details'!F207=$H$1,0,IF('Metric Details'!F207=$H$2,1,2))</f>
        <v>2</v>
      </c>
      <c r="V207">
        <f>LEN('Metric Details'!H207)</f>
        <v>0</v>
      </c>
      <c r="W207">
        <f t="shared" si="11"/>
        <v>2</v>
      </c>
      <c r="X207">
        <f t="shared" ca="1" si="12"/>
        <v>82</v>
      </c>
    </row>
    <row r="208" spans="18:24">
      <c r="R208">
        <f t="shared" ca="1" si="10"/>
        <v>1</v>
      </c>
      <c r="S208">
        <f>Metrics!B208</f>
        <v>0</v>
      </c>
      <c r="T208">
        <f>'Metric Details'!C208</f>
        <v>0</v>
      </c>
      <c r="U208">
        <f>IF('Metric Details'!F208=$H$1,0,IF('Metric Details'!F208=$H$2,1,2))</f>
        <v>2</v>
      </c>
      <c r="V208">
        <f>LEN('Metric Details'!H208)</f>
        <v>0</v>
      </c>
      <c r="W208">
        <f t="shared" si="11"/>
        <v>2</v>
      </c>
      <c r="X208">
        <f t="shared" ca="1" si="12"/>
        <v>82</v>
      </c>
    </row>
    <row r="209" spans="18:24">
      <c r="R209">
        <f t="shared" ca="1" si="10"/>
        <v>1</v>
      </c>
      <c r="S209">
        <f>Metrics!B209</f>
        <v>0</v>
      </c>
      <c r="T209">
        <f>'Metric Details'!C209</f>
        <v>0</v>
      </c>
      <c r="U209">
        <f>IF('Metric Details'!F209=$H$1,0,IF('Metric Details'!F209=$H$2,1,2))</f>
        <v>2</v>
      </c>
      <c r="V209">
        <f>LEN('Metric Details'!H209)</f>
        <v>0</v>
      </c>
      <c r="W209">
        <f t="shared" si="11"/>
        <v>2</v>
      </c>
      <c r="X209">
        <f t="shared" ca="1" si="12"/>
        <v>82</v>
      </c>
    </row>
    <row r="210" spans="18:24">
      <c r="R210">
        <f t="shared" ca="1" si="10"/>
        <v>1</v>
      </c>
      <c r="S210">
        <f>Metrics!B210</f>
        <v>0</v>
      </c>
      <c r="T210">
        <f>'Metric Details'!C210</f>
        <v>0</v>
      </c>
      <c r="U210">
        <f>IF('Metric Details'!F210=$H$1,0,IF('Metric Details'!F210=$H$2,1,2))</f>
        <v>2</v>
      </c>
      <c r="V210">
        <f>LEN('Metric Details'!H210)</f>
        <v>0</v>
      </c>
      <c r="W210">
        <f t="shared" si="11"/>
        <v>2</v>
      </c>
      <c r="X210">
        <f t="shared" ca="1" si="12"/>
        <v>82</v>
      </c>
    </row>
    <row r="211" spans="18:24">
      <c r="R211">
        <f t="shared" ca="1" si="10"/>
        <v>1</v>
      </c>
      <c r="S211">
        <f>Metrics!B211</f>
        <v>0</v>
      </c>
      <c r="T211">
        <f>'Metric Details'!C211</f>
        <v>0</v>
      </c>
      <c r="U211">
        <f>IF('Metric Details'!F211=$H$1,0,IF('Metric Details'!F211=$H$2,1,2))</f>
        <v>2</v>
      </c>
      <c r="V211">
        <f>LEN('Metric Details'!H211)</f>
        <v>0</v>
      </c>
      <c r="W211">
        <f t="shared" si="11"/>
        <v>2</v>
      </c>
      <c r="X211">
        <f t="shared" ca="1" si="12"/>
        <v>82</v>
      </c>
    </row>
    <row r="212" spans="18:24">
      <c r="R212">
        <f t="shared" ca="1" si="10"/>
        <v>1</v>
      </c>
      <c r="S212">
        <f>Metrics!B212</f>
        <v>0</v>
      </c>
      <c r="T212">
        <f>'Metric Details'!C212</f>
        <v>0</v>
      </c>
      <c r="U212">
        <f>IF('Metric Details'!F212=$H$1,0,IF('Metric Details'!F212=$H$2,1,2))</f>
        <v>2</v>
      </c>
      <c r="V212">
        <f>LEN('Metric Details'!H212)</f>
        <v>0</v>
      </c>
      <c r="W212">
        <f t="shared" si="11"/>
        <v>2</v>
      </c>
      <c r="X212">
        <f t="shared" ca="1" si="12"/>
        <v>82</v>
      </c>
    </row>
    <row r="213" spans="18:24">
      <c r="R213">
        <f t="shared" ca="1" si="10"/>
        <v>1</v>
      </c>
      <c r="S213">
        <f>Metrics!B213</f>
        <v>0</v>
      </c>
      <c r="T213">
        <f>'Metric Details'!C213</f>
        <v>0</v>
      </c>
      <c r="U213">
        <f>IF('Metric Details'!F213=$H$1,0,IF('Metric Details'!F213=$H$2,1,2))</f>
        <v>2</v>
      </c>
      <c r="V213">
        <f>LEN('Metric Details'!H213)</f>
        <v>0</v>
      </c>
      <c r="W213">
        <f t="shared" si="11"/>
        <v>2</v>
      </c>
      <c r="X213">
        <f t="shared" ca="1" si="12"/>
        <v>82</v>
      </c>
    </row>
    <row r="214" spans="18:24">
      <c r="R214">
        <f t="shared" ca="1" si="10"/>
        <v>1</v>
      </c>
      <c r="S214">
        <f>Metrics!B214</f>
        <v>0</v>
      </c>
      <c r="T214">
        <f>'Metric Details'!C214</f>
        <v>0</v>
      </c>
      <c r="U214">
        <f>IF('Metric Details'!F214=$H$1,0,IF('Metric Details'!F214=$H$2,1,2))</f>
        <v>2</v>
      </c>
      <c r="V214">
        <f>LEN('Metric Details'!H214)</f>
        <v>0</v>
      </c>
      <c r="W214">
        <f t="shared" si="11"/>
        <v>2</v>
      </c>
      <c r="X214">
        <f t="shared" ca="1" si="12"/>
        <v>82</v>
      </c>
    </row>
    <row r="215" spans="18:24">
      <c r="R215">
        <f t="shared" ca="1" si="10"/>
        <v>1</v>
      </c>
      <c r="S215">
        <f>Metrics!B215</f>
        <v>0</v>
      </c>
      <c r="T215">
        <f>'Metric Details'!C215</f>
        <v>0</v>
      </c>
      <c r="U215">
        <f>IF('Metric Details'!F215=$H$1,0,IF('Metric Details'!F215=$H$2,1,2))</f>
        <v>2</v>
      </c>
      <c r="V215">
        <f>LEN('Metric Details'!H215)</f>
        <v>0</v>
      </c>
      <c r="W215">
        <f t="shared" si="11"/>
        <v>2</v>
      </c>
      <c r="X215">
        <f t="shared" ca="1" si="12"/>
        <v>82</v>
      </c>
    </row>
    <row r="216" spans="18:24">
      <c r="R216">
        <f t="shared" ca="1" si="10"/>
        <v>1</v>
      </c>
      <c r="S216">
        <f>Metrics!B216</f>
        <v>0</v>
      </c>
      <c r="T216">
        <f>'Metric Details'!C216</f>
        <v>0</v>
      </c>
      <c r="U216">
        <f>IF('Metric Details'!F216=$H$1,0,IF('Metric Details'!F216=$H$2,1,2))</f>
        <v>2</v>
      </c>
      <c r="V216">
        <f>LEN('Metric Details'!H216)</f>
        <v>0</v>
      </c>
      <c r="W216">
        <f t="shared" si="11"/>
        <v>2</v>
      </c>
      <c r="X216">
        <f t="shared" ca="1" si="12"/>
        <v>82</v>
      </c>
    </row>
    <row r="217" spans="18:24">
      <c r="R217">
        <f t="shared" ca="1" si="10"/>
        <v>1</v>
      </c>
      <c r="S217">
        <f>Metrics!B217</f>
        <v>0</v>
      </c>
      <c r="T217">
        <f>'Metric Details'!C217</f>
        <v>0</v>
      </c>
      <c r="U217">
        <f>IF('Metric Details'!F217=$H$1,0,IF('Metric Details'!F217=$H$2,1,2))</f>
        <v>2</v>
      </c>
      <c r="V217">
        <f>LEN('Metric Details'!H217)</f>
        <v>0</v>
      </c>
      <c r="W217">
        <f t="shared" si="11"/>
        <v>2</v>
      </c>
      <c r="X217">
        <f t="shared" ca="1" si="12"/>
        <v>82</v>
      </c>
    </row>
    <row r="218" spans="18:24">
      <c r="R218">
        <f t="shared" ca="1" si="10"/>
        <v>1</v>
      </c>
      <c r="S218">
        <f>Metrics!B218</f>
        <v>0</v>
      </c>
      <c r="T218">
        <f>'Metric Details'!C218</f>
        <v>0</v>
      </c>
      <c r="U218">
        <f>IF('Metric Details'!F218=$H$1,0,IF('Metric Details'!F218=$H$2,1,2))</f>
        <v>2</v>
      </c>
      <c r="V218">
        <f>LEN('Metric Details'!H218)</f>
        <v>0</v>
      </c>
      <c r="W218">
        <f t="shared" si="11"/>
        <v>2</v>
      </c>
      <c r="X218">
        <f t="shared" ca="1" si="12"/>
        <v>82</v>
      </c>
    </row>
    <row r="219" spans="18:24">
      <c r="R219">
        <f t="shared" ca="1" si="10"/>
        <v>1</v>
      </c>
      <c r="S219">
        <f>Metrics!B219</f>
        <v>0</v>
      </c>
      <c r="T219">
        <f>'Metric Details'!C219</f>
        <v>0</v>
      </c>
      <c r="U219">
        <f>IF('Metric Details'!F219=$H$1,0,IF('Metric Details'!F219=$H$2,1,2))</f>
        <v>2</v>
      </c>
      <c r="V219">
        <f>LEN('Metric Details'!H219)</f>
        <v>0</v>
      </c>
      <c r="W219">
        <f t="shared" si="11"/>
        <v>2</v>
      </c>
      <c r="X219">
        <f t="shared" ca="1" si="12"/>
        <v>82</v>
      </c>
    </row>
    <row r="220" spans="18:24">
      <c r="R220">
        <f t="shared" ca="1" si="10"/>
        <v>1</v>
      </c>
      <c r="S220">
        <f>Metrics!B220</f>
        <v>0</v>
      </c>
      <c r="T220">
        <f>'Metric Details'!C220</f>
        <v>0</v>
      </c>
      <c r="U220">
        <f>IF('Metric Details'!F220=$H$1,0,IF('Metric Details'!F220=$H$2,1,2))</f>
        <v>2</v>
      </c>
      <c r="V220">
        <f>LEN('Metric Details'!H220)</f>
        <v>0</v>
      </c>
      <c r="W220">
        <f t="shared" si="11"/>
        <v>2</v>
      </c>
      <c r="X220">
        <f t="shared" ca="1" si="12"/>
        <v>82</v>
      </c>
    </row>
    <row r="221" spans="18:24">
      <c r="R221">
        <f t="shared" ca="1" si="10"/>
        <v>1</v>
      </c>
      <c r="S221">
        <f>Metrics!B221</f>
        <v>0</v>
      </c>
      <c r="T221">
        <f>'Metric Details'!C221</f>
        <v>0</v>
      </c>
      <c r="U221">
        <f>IF('Metric Details'!F221=$H$1,0,IF('Metric Details'!F221=$H$2,1,2))</f>
        <v>2</v>
      </c>
      <c r="V221">
        <f>LEN('Metric Details'!H221)</f>
        <v>0</v>
      </c>
      <c r="W221">
        <f t="shared" si="11"/>
        <v>2</v>
      </c>
      <c r="X221">
        <f t="shared" ca="1" si="12"/>
        <v>82</v>
      </c>
    </row>
    <row r="222" spans="18:24">
      <c r="R222">
        <f t="shared" ca="1" si="10"/>
        <v>1</v>
      </c>
      <c r="S222">
        <f>Metrics!B222</f>
        <v>0</v>
      </c>
      <c r="T222">
        <f>'Metric Details'!C222</f>
        <v>0</v>
      </c>
      <c r="U222">
        <f>IF('Metric Details'!F222=$H$1,0,IF('Metric Details'!F222=$H$2,1,2))</f>
        <v>2</v>
      </c>
      <c r="V222">
        <f>LEN('Metric Details'!H222)</f>
        <v>0</v>
      </c>
      <c r="W222">
        <f t="shared" si="11"/>
        <v>2</v>
      </c>
      <c r="X222">
        <f t="shared" ca="1" si="12"/>
        <v>82</v>
      </c>
    </row>
    <row r="223" spans="18:24">
      <c r="R223">
        <f t="shared" ca="1" si="10"/>
        <v>1</v>
      </c>
      <c r="S223">
        <f>Metrics!B223</f>
        <v>0</v>
      </c>
      <c r="T223">
        <f>'Metric Details'!C223</f>
        <v>0</v>
      </c>
      <c r="U223">
        <f>IF('Metric Details'!F223=$H$1,0,IF('Metric Details'!F223=$H$2,1,2))</f>
        <v>2</v>
      </c>
      <c r="V223">
        <f>LEN('Metric Details'!H223)</f>
        <v>0</v>
      </c>
      <c r="W223">
        <f t="shared" si="11"/>
        <v>2</v>
      </c>
      <c r="X223">
        <f t="shared" ca="1" si="12"/>
        <v>82</v>
      </c>
    </row>
    <row r="224" spans="18:24">
      <c r="R224">
        <f t="shared" ca="1" si="10"/>
        <v>1</v>
      </c>
      <c r="S224">
        <f>Metrics!B224</f>
        <v>0</v>
      </c>
      <c r="T224">
        <f>'Metric Details'!C224</f>
        <v>0</v>
      </c>
      <c r="U224">
        <f>IF('Metric Details'!F224=$H$1,0,IF('Metric Details'!F224=$H$2,1,2))</f>
        <v>2</v>
      </c>
      <c r="V224">
        <f>LEN('Metric Details'!H224)</f>
        <v>0</v>
      </c>
      <c r="W224">
        <f t="shared" si="11"/>
        <v>2</v>
      </c>
      <c r="X224">
        <f t="shared" ca="1" si="12"/>
        <v>82</v>
      </c>
    </row>
    <row r="225" spans="18:24">
      <c r="R225">
        <f t="shared" ca="1" si="10"/>
        <v>1</v>
      </c>
      <c r="S225">
        <f>Metrics!B225</f>
        <v>0</v>
      </c>
      <c r="T225">
        <f>'Metric Details'!C225</f>
        <v>0</v>
      </c>
      <c r="U225">
        <f>IF('Metric Details'!F225=$H$1,0,IF('Metric Details'!F225=$H$2,1,2))</f>
        <v>2</v>
      </c>
      <c r="V225">
        <f>LEN('Metric Details'!H225)</f>
        <v>0</v>
      </c>
      <c r="W225">
        <f t="shared" si="11"/>
        <v>2</v>
      </c>
      <c r="X225">
        <f t="shared" ca="1" si="12"/>
        <v>82</v>
      </c>
    </row>
    <row r="226" spans="18:24">
      <c r="R226">
        <f t="shared" ca="1" si="10"/>
        <v>1</v>
      </c>
      <c r="S226">
        <f>Metrics!B226</f>
        <v>0</v>
      </c>
      <c r="T226">
        <f>'Metric Details'!C226</f>
        <v>0</v>
      </c>
      <c r="U226">
        <f>IF('Metric Details'!F226=$H$1,0,IF('Metric Details'!F226=$H$2,1,2))</f>
        <v>2</v>
      </c>
      <c r="V226">
        <f>LEN('Metric Details'!H226)</f>
        <v>0</v>
      </c>
      <c r="W226">
        <f t="shared" si="11"/>
        <v>2</v>
      </c>
      <c r="X226">
        <f t="shared" ca="1" si="12"/>
        <v>82</v>
      </c>
    </row>
    <row r="227" spans="18:24">
      <c r="R227">
        <f t="shared" ca="1" si="10"/>
        <v>1</v>
      </c>
      <c r="S227">
        <f>Metrics!B227</f>
        <v>0</v>
      </c>
      <c r="T227">
        <f>'Metric Details'!C227</f>
        <v>0</v>
      </c>
      <c r="U227">
        <f>IF('Metric Details'!F227=$H$1,0,IF('Metric Details'!F227=$H$2,1,2))</f>
        <v>2</v>
      </c>
      <c r="V227">
        <f>LEN('Metric Details'!H227)</f>
        <v>0</v>
      </c>
      <c r="W227">
        <f t="shared" si="11"/>
        <v>2</v>
      </c>
      <c r="X227">
        <f t="shared" ca="1" si="12"/>
        <v>82</v>
      </c>
    </row>
    <row r="228" spans="18:24">
      <c r="R228">
        <f t="shared" ca="1" si="10"/>
        <v>1</v>
      </c>
      <c r="S228">
        <f>Metrics!B228</f>
        <v>0</v>
      </c>
      <c r="T228">
        <f>'Metric Details'!C228</f>
        <v>0</v>
      </c>
      <c r="U228">
        <f>IF('Metric Details'!F228=$H$1,0,IF('Metric Details'!F228=$H$2,1,2))</f>
        <v>2</v>
      </c>
      <c r="V228">
        <f>LEN('Metric Details'!H228)</f>
        <v>0</v>
      </c>
      <c r="W228">
        <f t="shared" si="11"/>
        <v>2</v>
      </c>
      <c r="X228">
        <f t="shared" ca="1" si="12"/>
        <v>82</v>
      </c>
    </row>
    <row r="229" spans="18:24">
      <c r="R229">
        <f t="shared" ca="1" si="10"/>
        <v>1</v>
      </c>
      <c r="S229">
        <f>Metrics!B229</f>
        <v>0</v>
      </c>
      <c r="T229">
        <f>'Metric Details'!C229</f>
        <v>0</v>
      </c>
      <c r="U229">
        <f>IF('Metric Details'!F229=$H$1,0,IF('Metric Details'!F229=$H$2,1,2))</f>
        <v>2</v>
      </c>
      <c r="V229">
        <f>LEN('Metric Details'!H229)</f>
        <v>0</v>
      </c>
      <c r="W229">
        <f t="shared" si="11"/>
        <v>2</v>
      </c>
      <c r="X229">
        <f t="shared" ca="1" si="12"/>
        <v>82</v>
      </c>
    </row>
    <row r="230" spans="18:24">
      <c r="R230">
        <f t="shared" ca="1" si="10"/>
        <v>1</v>
      </c>
      <c r="S230">
        <f>Metrics!B230</f>
        <v>0</v>
      </c>
      <c r="T230">
        <f>'Metric Details'!C230</f>
        <v>0</v>
      </c>
      <c r="U230">
        <f>IF('Metric Details'!F230=$H$1,0,IF('Metric Details'!F230=$H$2,1,2))</f>
        <v>2</v>
      </c>
      <c r="V230">
        <f>LEN('Metric Details'!H230)</f>
        <v>0</v>
      </c>
      <c r="W230">
        <f t="shared" si="11"/>
        <v>2</v>
      </c>
      <c r="X230">
        <f t="shared" ca="1" si="12"/>
        <v>82</v>
      </c>
    </row>
    <row r="231" spans="18:24">
      <c r="R231">
        <f t="shared" ca="1" si="10"/>
        <v>1</v>
      </c>
      <c r="S231">
        <f>Metrics!B231</f>
        <v>0</v>
      </c>
      <c r="T231">
        <f>'Metric Details'!C231</f>
        <v>0</v>
      </c>
      <c r="U231">
        <f>IF('Metric Details'!F231=$H$1,0,IF('Metric Details'!F231=$H$2,1,2))</f>
        <v>2</v>
      </c>
      <c r="V231">
        <f>LEN('Metric Details'!H231)</f>
        <v>0</v>
      </c>
      <c r="W231">
        <f t="shared" si="11"/>
        <v>2</v>
      </c>
      <c r="X231">
        <f t="shared" ca="1" si="12"/>
        <v>82</v>
      </c>
    </row>
    <row r="232" spans="18:24">
      <c r="R232">
        <f t="shared" ca="1" si="10"/>
        <v>1</v>
      </c>
      <c r="S232">
        <f>Metrics!B232</f>
        <v>0</v>
      </c>
      <c r="T232">
        <f>'Metric Details'!C232</f>
        <v>0</v>
      </c>
      <c r="U232">
        <f>IF('Metric Details'!F232=$H$1,0,IF('Metric Details'!F232=$H$2,1,2))</f>
        <v>2</v>
      </c>
      <c r="V232">
        <f>LEN('Metric Details'!H232)</f>
        <v>0</v>
      </c>
      <c r="W232">
        <f t="shared" si="11"/>
        <v>2</v>
      </c>
      <c r="X232">
        <f t="shared" ca="1" si="12"/>
        <v>82</v>
      </c>
    </row>
    <row r="233" spans="18:24">
      <c r="R233">
        <f t="shared" ca="1" si="10"/>
        <v>1</v>
      </c>
      <c r="S233">
        <f>Metrics!B233</f>
        <v>0</v>
      </c>
      <c r="T233">
        <f>'Metric Details'!C233</f>
        <v>0</v>
      </c>
      <c r="U233">
        <f>IF('Metric Details'!F233=$H$1,0,IF('Metric Details'!F233=$H$2,1,2))</f>
        <v>2</v>
      </c>
      <c r="V233">
        <f>LEN('Metric Details'!H233)</f>
        <v>0</v>
      </c>
      <c r="W233">
        <f t="shared" si="11"/>
        <v>2</v>
      </c>
      <c r="X233">
        <f t="shared" ca="1" si="12"/>
        <v>82</v>
      </c>
    </row>
    <row r="234" spans="18:24">
      <c r="R234">
        <f t="shared" ca="1" si="10"/>
        <v>1</v>
      </c>
      <c r="S234">
        <f>Metrics!B234</f>
        <v>0</v>
      </c>
      <c r="T234">
        <f>'Metric Details'!C234</f>
        <v>0</v>
      </c>
      <c r="U234">
        <f>IF('Metric Details'!F234=$H$1,0,IF('Metric Details'!F234=$H$2,1,2))</f>
        <v>2</v>
      </c>
      <c r="V234">
        <f>LEN('Metric Details'!H234)</f>
        <v>0</v>
      </c>
      <c r="W234">
        <f t="shared" si="11"/>
        <v>2</v>
      </c>
      <c r="X234">
        <f t="shared" ca="1" si="12"/>
        <v>82</v>
      </c>
    </row>
    <row r="235" spans="18:24">
      <c r="R235">
        <f t="shared" ca="1" si="10"/>
        <v>1</v>
      </c>
      <c r="S235">
        <f>Metrics!B235</f>
        <v>0</v>
      </c>
      <c r="T235">
        <f>'Metric Details'!C235</f>
        <v>0</v>
      </c>
      <c r="U235">
        <f>IF('Metric Details'!F235=$H$1,0,IF('Metric Details'!F235=$H$2,1,2))</f>
        <v>2</v>
      </c>
      <c r="V235">
        <f>LEN('Metric Details'!H235)</f>
        <v>0</v>
      </c>
      <c r="W235">
        <f t="shared" si="11"/>
        <v>2</v>
      </c>
      <c r="X235">
        <f t="shared" ca="1" si="12"/>
        <v>82</v>
      </c>
    </row>
    <row r="236" spans="18:24">
      <c r="R236">
        <f t="shared" ca="1" si="10"/>
        <v>1</v>
      </c>
      <c r="S236">
        <f>Metrics!B236</f>
        <v>0</v>
      </c>
      <c r="T236">
        <f>'Metric Details'!C236</f>
        <v>0</v>
      </c>
      <c r="U236">
        <f>IF('Metric Details'!F236=$H$1,0,IF('Metric Details'!F236=$H$2,1,2))</f>
        <v>2</v>
      </c>
      <c r="V236">
        <f>LEN('Metric Details'!H236)</f>
        <v>0</v>
      </c>
      <c r="W236">
        <f t="shared" si="11"/>
        <v>2</v>
      </c>
      <c r="X236">
        <f t="shared" ca="1" si="12"/>
        <v>82</v>
      </c>
    </row>
    <row r="237" spans="18:24">
      <c r="R237">
        <f t="shared" ca="1" si="10"/>
        <v>1</v>
      </c>
      <c r="S237">
        <f>Metrics!B237</f>
        <v>0</v>
      </c>
      <c r="T237">
        <f>'Metric Details'!C237</f>
        <v>0</v>
      </c>
      <c r="U237">
        <f>IF('Metric Details'!F237=$H$1,0,IF('Metric Details'!F237=$H$2,1,2))</f>
        <v>2</v>
      </c>
      <c r="V237">
        <f>LEN('Metric Details'!H237)</f>
        <v>0</v>
      </c>
      <c r="W237">
        <f t="shared" si="11"/>
        <v>2</v>
      </c>
      <c r="X237">
        <f t="shared" ca="1" si="12"/>
        <v>82</v>
      </c>
    </row>
    <row r="238" spans="18:24">
      <c r="R238">
        <f t="shared" ca="1" si="10"/>
        <v>1</v>
      </c>
      <c r="S238">
        <f>Metrics!B238</f>
        <v>0</v>
      </c>
      <c r="T238">
        <f>'Metric Details'!C238</f>
        <v>0</v>
      </c>
      <c r="U238">
        <f>IF('Metric Details'!F238=$H$1,0,IF('Metric Details'!F238=$H$2,1,2))</f>
        <v>2</v>
      </c>
      <c r="V238">
        <f>LEN('Metric Details'!H238)</f>
        <v>0</v>
      </c>
      <c r="W238">
        <f t="shared" si="11"/>
        <v>2</v>
      </c>
      <c r="X238">
        <f t="shared" ca="1" si="12"/>
        <v>82</v>
      </c>
    </row>
    <row r="239" spans="18:24">
      <c r="R239">
        <f t="shared" ca="1" si="10"/>
        <v>1</v>
      </c>
      <c r="S239">
        <f>Metrics!B239</f>
        <v>0</v>
      </c>
      <c r="T239">
        <f>'Metric Details'!C239</f>
        <v>0</v>
      </c>
      <c r="U239">
        <f>IF('Metric Details'!F239=$H$1,0,IF('Metric Details'!F239=$H$2,1,2))</f>
        <v>2</v>
      </c>
      <c r="V239">
        <f>LEN('Metric Details'!H239)</f>
        <v>0</v>
      </c>
      <c r="W239">
        <f t="shared" si="11"/>
        <v>2</v>
      </c>
      <c r="X239">
        <f t="shared" ca="1" si="12"/>
        <v>82</v>
      </c>
    </row>
    <row r="240" spans="18:24">
      <c r="R240">
        <f t="shared" ca="1" si="10"/>
        <v>1</v>
      </c>
      <c r="S240">
        <f>Metrics!B240</f>
        <v>0</v>
      </c>
      <c r="T240">
        <f>'Metric Details'!C240</f>
        <v>0</v>
      </c>
      <c r="U240">
        <f>IF('Metric Details'!F240=$H$1,0,IF('Metric Details'!F240=$H$2,1,2))</f>
        <v>2</v>
      </c>
      <c r="V240">
        <f>LEN('Metric Details'!H240)</f>
        <v>0</v>
      </c>
      <c r="W240">
        <f t="shared" si="11"/>
        <v>2</v>
      </c>
      <c r="X240">
        <f t="shared" ca="1" si="12"/>
        <v>82</v>
      </c>
    </row>
    <row r="241" spans="18:24">
      <c r="R241">
        <f t="shared" ca="1" si="10"/>
        <v>1</v>
      </c>
      <c r="S241">
        <f>Metrics!B241</f>
        <v>0</v>
      </c>
      <c r="T241">
        <f>'Metric Details'!C241</f>
        <v>0</v>
      </c>
      <c r="U241">
        <f>IF('Metric Details'!F241=$H$1,0,IF('Metric Details'!F241=$H$2,1,2))</f>
        <v>2</v>
      </c>
      <c r="V241">
        <f>LEN('Metric Details'!H241)</f>
        <v>0</v>
      </c>
      <c r="W241">
        <f t="shared" si="11"/>
        <v>2</v>
      </c>
      <c r="X241">
        <f t="shared" ca="1" si="12"/>
        <v>82</v>
      </c>
    </row>
    <row r="242" spans="18:24">
      <c r="R242">
        <f t="shared" ca="1" si="10"/>
        <v>1</v>
      </c>
      <c r="S242">
        <f>Metrics!B242</f>
        <v>0</v>
      </c>
      <c r="T242">
        <f>'Metric Details'!C242</f>
        <v>0</v>
      </c>
      <c r="U242">
        <f>IF('Metric Details'!F242=$H$1,0,IF('Metric Details'!F242=$H$2,1,2))</f>
        <v>2</v>
      </c>
      <c r="V242">
        <f>LEN('Metric Details'!H242)</f>
        <v>0</v>
      </c>
      <c r="W242">
        <f t="shared" si="11"/>
        <v>2</v>
      </c>
      <c r="X242">
        <f t="shared" ca="1" si="12"/>
        <v>82</v>
      </c>
    </row>
    <row r="243" spans="18:24">
      <c r="R243">
        <f t="shared" ca="1" si="10"/>
        <v>1</v>
      </c>
      <c r="S243">
        <f>Metrics!B243</f>
        <v>0</v>
      </c>
      <c r="T243">
        <f>'Metric Details'!C243</f>
        <v>0</v>
      </c>
      <c r="U243">
        <f>IF('Metric Details'!F243=$H$1,0,IF('Metric Details'!F243=$H$2,1,2))</f>
        <v>2</v>
      </c>
      <c r="V243">
        <f>LEN('Metric Details'!H243)</f>
        <v>0</v>
      </c>
      <c r="W243">
        <f t="shared" si="11"/>
        <v>2</v>
      </c>
      <c r="X243">
        <f t="shared" ca="1" si="12"/>
        <v>82</v>
      </c>
    </row>
    <row r="244" spans="18:24">
      <c r="R244">
        <f t="shared" ca="1" si="10"/>
        <v>1</v>
      </c>
      <c r="S244">
        <f>Metrics!B244</f>
        <v>0</v>
      </c>
      <c r="T244">
        <f>'Metric Details'!C244</f>
        <v>0</v>
      </c>
      <c r="U244">
        <f>IF('Metric Details'!F244=$H$1,0,IF('Metric Details'!F244=$H$2,1,2))</f>
        <v>2</v>
      </c>
      <c r="V244">
        <f>LEN('Metric Details'!H244)</f>
        <v>0</v>
      </c>
      <c r="W244">
        <f t="shared" si="11"/>
        <v>2</v>
      </c>
      <c r="X244">
        <f t="shared" ca="1" si="12"/>
        <v>82</v>
      </c>
    </row>
    <row r="245" spans="18:24">
      <c r="R245">
        <f t="shared" ca="1" si="10"/>
        <v>1</v>
      </c>
      <c r="S245">
        <f>Metrics!B245</f>
        <v>0</v>
      </c>
      <c r="T245">
        <f>'Metric Details'!C245</f>
        <v>0</v>
      </c>
      <c r="U245">
        <f>IF('Metric Details'!F245=$H$1,0,IF('Metric Details'!F245=$H$2,1,2))</f>
        <v>2</v>
      </c>
      <c r="V245">
        <f>LEN('Metric Details'!H245)</f>
        <v>0</v>
      </c>
      <c r="W245">
        <f t="shared" si="11"/>
        <v>2</v>
      </c>
      <c r="X245">
        <f t="shared" ca="1" si="12"/>
        <v>82</v>
      </c>
    </row>
    <row r="246" spans="18:24">
      <c r="R246">
        <f t="shared" ca="1" si="10"/>
        <v>1</v>
      </c>
      <c r="S246">
        <f>Metrics!B246</f>
        <v>0</v>
      </c>
      <c r="T246">
        <f>'Metric Details'!C246</f>
        <v>0</v>
      </c>
      <c r="U246">
        <f>IF('Metric Details'!F246=$H$1,0,IF('Metric Details'!F246=$H$2,1,2))</f>
        <v>2</v>
      </c>
      <c r="V246">
        <f>LEN('Metric Details'!H246)</f>
        <v>0</v>
      </c>
      <c r="W246">
        <f t="shared" si="11"/>
        <v>2</v>
      </c>
      <c r="X246">
        <f t="shared" ca="1" si="12"/>
        <v>82</v>
      </c>
    </row>
    <row r="247" spans="18:24">
      <c r="R247">
        <f t="shared" ca="1" si="10"/>
        <v>1</v>
      </c>
      <c r="S247">
        <f>Metrics!B247</f>
        <v>0</v>
      </c>
      <c r="T247">
        <f>'Metric Details'!C247</f>
        <v>0</v>
      </c>
      <c r="U247">
        <f>IF('Metric Details'!F247=$H$1,0,IF('Metric Details'!F247=$H$2,1,2))</f>
        <v>2</v>
      </c>
      <c r="V247">
        <f>LEN('Metric Details'!H247)</f>
        <v>0</v>
      </c>
      <c r="W247">
        <f t="shared" si="11"/>
        <v>2</v>
      </c>
      <c r="X247">
        <f t="shared" ca="1" si="12"/>
        <v>82</v>
      </c>
    </row>
    <row r="248" spans="18:24">
      <c r="R248">
        <f t="shared" ca="1" si="10"/>
        <v>1</v>
      </c>
      <c r="S248">
        <f>Metrics!B248</f>
        <v>0</v>
      </c>
      <c r="T248">
        <f>'Metric Details'!C248</f>
        <v>0</v>
      </c>
      <c r="U248">
        <f>IF('Metric Details'!F248=$H$1,0,IF('Metric Details'!F248=$H$2,1,2))</f>
        <v>2</v>
      </c>
      <c r="V248">
        <f>LEN('Metric Details'!H248)</f>
        <v>0</v>
      </c>
      <c r="W248">
        <f t="shared" si="11"/>
        <v>2</v>
      </c>
      <c r="X248">
        <f t="shared" ca="1" si="12"/>
        <v>82</v>
      </c>
    </row>
    <row r="249" spans="18:24">
      <c r="R249">
        <f t="shared" ca="1" si="10"/>
        <v>1</v>
      </c>
      <c r="S249">
        <f>Metrics!B249</f>
        <v>0</v>
      </c>
      <c r="T249">
        <f>'Metric Details'!C249</f>
        <v>0</v>
      </c>
      <c r="U249">
        <f>IF('Metric Details'!F249=$H$1,0,IF('Metric Details'!F249=$H$2,1,2))</f>
        <v>2</v>
      </c>
      <c r="V249">
        <f>LEN('Metric Details'!H249)</f>
        <v>0</v>
      </c>
      <c r="W249">
        <f t="shared" si="11"/>
        <v>2</v>
      </c>
      <c r="X249">
        <f t="shared" ca="1" si="12"/>
        <v>82</v>
      </c>
    </row>
    <row r="250" spans="18:24">
      <c r="R250">
        <f t="shared" ca="1" si="10"/>
        <v>1</v>
      </c>
      <c r="S250">
        <f>Metrics!B250</f>
        <v>0</v>
      </c>
      <c r="T250">
        <f>'Metric Details'!C250</f>
        <v>0</v>
      </c>
      <c r="U250">
        <f>IF('Metric Details'!F250=$H$1,0,IF('Metric Details'!F250=$H$2,1,2))</f>
        <v>2</v>
      </c>
      <c r="V250">
        <f>LEN('Metric Details'!H250)</f>
        <v>0</v>
      </c>
      <c r="W250">
        <f t="shared" si="11"/>
        <v>2</v>
      </c>
      <c r="X250">
        <f t="shared" ca="1" si="12"/>
        <v>82</v>
      </c>
    </row>
    <row r="251" spans="18:24">
      <c r="R251">
        <f t="shared" ca="1" si="10"/>
        <v>1</v>
      </c>
      <c r="S251">
        <f>Metrics!B251</f>
        <v>0</v>
      </c>
      <c r="T251">
        <f>'Metric Details'!C251</f>
        <v>0</v>
      </c>
      <c r="U251">
        <f>IF('Metric Details'!F251=$H$1,0,IF('Metric Details'!F251=$H$2,1,2))</f>
        <v>2</v>
      </c>
      <c r="V251">
        <f>LEN('Metric Details'!H251)</f>
        <v>0</v>
      </c>
      <c r="W251">
        <f t="shared" si="11"/>
        <v>2</v>
      </c>
      <c r="X251">
        <f t="shared" ca="1" si="12"/>
        <v>82</v>
      </c>
    </row>
    <row r="252" spans="18:24">
      <c r="R252">
        <f t="shared" ca="1" si="10"/>
        <v>1</v>
      </c>
      <c r="S252">
        <f>Metrics!B252</f>
        <v>0</v>
      </c>
      <c r="T252">
        <f>'Metric Details'!C252</f>
        <v>0</v>
      </c>
      <c r="U252">
        <f>IF('Metric Details'!F252=$H$1,0,IF('Metric Details'!F252=$H$2,1,2))</f>
        <v>2</v>
      </c>
      <c r="V252">
        <f>LEN('Metric Details'!H252)</f>
        <v>0</v>
      </c>
      <c r="W252">
        <f t="shared" si="11"/>
        <v>2</v>
      </c>
      <c r="X252">
        <f t="shared" ca="1" si="12"/>
        <v>82</v>
      </c>
    </row>
    <row r="253" spans="18:24">
      <c r="R253">
        <f t="shared" ca="1" si="10"/>
        <v>1</v>
      </c>
      <c r="S253">
        <f>Metrics!B253</f>
        <v>0</v>
      </c>
      <c r="T253">
        <f>'Metric Details'!C253</f>
        <v>0</v>
      </c>
      <c r="U253">
        <f>IF('Metric Details'!F253=$H$1,0,IF('Metric Details'!F253=$H$2,1,2))</f>
        <v>2</v>
      </c>
      <c r="V253">
        <f>LEN('Metric Details'!H253)</f>
        <v>0</v>
      </c>
      <c r="W253">
        <f t="shared" si="11"/>
        <v>2</v>
      </c>
      <c r="X253">
        <f t="shared" ca="1" si="12"/>
        <v>82</v>
      </c>
    </row>
    <row r="254" spans="18:24">
      <c r="R254">
        <f t="shared" ca="1" si="10"/>
        <v>1</v>
      </c>
      <c r="S254">
        <f>Metrics!B254</f>
        <v>0</v>
      </c>
      <c r="T254">
        <f>'Metric Details'!C254</f>
        <v>0</v>
      </c>
      <c r="U254">
        <f>IF('Metric Details'!F254=$H$1,0,IF('Metric Details'!F254=$H$2,1,2))</f>
        <v>2</v>
      </c>
      <c r="V254">
        <f>LEN('Metric Details'!H254)</f>
        <v>0</v>
      </c>
      <c r="W254">
        <f t="shared" si="11"/>
        <v>2</v>
      </c>
      <c r="X254">
        <f t="shared" ca="1" si="12"/>
        <v>82</v>
      </c>
    </row>
    <row r="255" spans="18:24">
      <c r="R255">
        <f t="shared" ca="1" si="10"/>
        <v>1</v>
      </c>
      <c r="S255">
        <f>Metrics!B255</f>
        <v>0</v>
      </c>
      <c r="T255">
        <f>'Metric Details'!C255</f>
        <v>0</v>
      </c>
      <c r="U255">
        <f>IF('Metric Details'!F255=$H$1,0,IF('Metric Details'!F255=$H$2,1,2))</f>
        <v>2</v>
      </c>
      <c r="V255">
        <f>LEN('Metric Details'!H255)</f>
        <v>0</v>
      </c>
      <c r="W255">
        <f t="shared" si="11"/>
        <v>2</v>
      </c>
      <c r="X255">
        <f t="shared" ca="1" si="12"/>
        <v>82</v>
      </c>
    </row>
    <row r="256" spans="18:24">
      <c r="R256">
        <f t="shared" ca="1" si="10"/>
        <v>1</v>
      </c>
      <c r="S256">
        <f>Metrics!B256</f>
        <v>0</v>
      </c>
      <c r="T256">
        <f>'Metric Details'!C256</f>
        <v>0</v>
      </c>
      <c r="U256">
        <f>IF('Metric Details'!F256=$H$1,0,IF('Metric Details'!F256=$H$2,1,2))</f>
        <v>2</v>
      </c>
      <c r="V256">
        <f>LEN('Metric Details'!H256)</f>
        <v>0</v>
      </c>
      <c r="W256">
        <f t="shared" si="11"/>
        <v>2</v>
      </c>
      <c r="X256">
        <f t="shared" ca="1" si="12"/>
        <v>82</v>
      </c>
    </row>
    <row r="257" spans="18:24">
      <c r="R257">
        <f t="shared" ca="1" si="10"/>
        <v>1</v>
      </c>
      <c r="S257">
        <f>Metrics!B257</f>
        <v>0</v>
      </c>
      <c r="T257">
        <f>'Metric Details'!C257</f>
        <v>0</v>
      </c>
      <c r="U257">
        <f>IF('Metric Details'!F257=$H$1,0,IF('Metric Details'!F257=$H$2,1,2))</f>
        <v>2</v>
      </c>
      <c r="V257">
        <f>LEN('Metric Details'!H257)</f>
        <v>0</v>
      </c>
      <c r="W257">
        <f t="shared" si="11"/>
        <v>2</v>
      </c>
      <c r="X257">
        <f t="shared" ca="1" si="12"/>
        <v>82</v>
      </c>
    </row>
    <row r="258" spans="18:24">
      <c r="R258">
        <f t="shared" ca="1" si="10"/>
        <v>1</v>
      </c>
      <c r="S258">
        <f>Metrics!B258</f>
        <v>0</v>
      </c>
      <c r="T258">
        <f>'Metric Details'!C258</f>
        <v>0</v>
      </c>
      <c r="U258">
        <f>IF('Metric Details'!F258=$H$1,0,IF('Metric Details'!F258=$H$2,1,2))</f>
        <v>2</v>
      </c>
      <c r="V258">
        <f>LEN('Metric Details'!H258)</f>
        <v>0</v>
      </c>
      <c r="W258">
        <f t="shared" si="11"/>
        <v>2</v>
      </c>
      <c r="X258">
        <f t="shared" ca="1" si="12"/>
        <v>82</v>
      </c>
    </row>
    <row r="259" spans="18:24">
      <c r="R259">
        <f t="shared" ref="R259:R322" ca="1" si="13">IF(INDEX(W:W,X259)&gt;0,1,0)</f>
        <v>1</v>
      </c>
      <c r="S259">
        <f>Metrics!B259</f>
        <v>0</v>
      </c>
      <c r="T259">
        <f>'Metric Details'!C259</f>
        <v>0</v>
      </c>
      <c r="U259">
        <f>IF('Metric Details'!F259=$H$1,0,IF('Metric Details'!F259=$H$2,1,2))</f>
        <v>2</v>
      </c>
      <c r="V259">
        <f>LEN('Metric Details'!H259)</f>
        <v>0</v>
      </c>
      <c r="W259">
        <f t="shared" ref="W259:W322" si="14">IF(V259&gt;0,2,U259)</f>
        <v>2</v>
      </c>
      <c r="X259">
        <f t="shared" ca="1" si="12"/>
        <v>82</v>
      </c>
    </row>
    <row r="260" spans="18:24">
      <c r="R260">
        <f t="shared" ca="1" si="13"/>
        <v>1</v>
      </c>
      <c r="S260">
        <f>Metrics!B260</f>
        <v>0</v>
      </c>
      <c r="T260">
        <f>'Metric Details'!C260</f>
        <v>0</v>
      </c>
      <c r="U260">
        <f>IF('Metric Details'!F260=$H$1,0,IF('Metric Details'!F260=$H$2,1,2))</f>
        <v>2</v>
      </c>
      <c r="V260">
        <f>LEN('Metric Details'!H260)</f>
        <v>0</v>
      </c>
      <c r="W260">
        <f t="shared" si="14"/>
        <v>2</v>
      </c>
      <c r="X260">
        <f t="shared" ca="1" si="12"/>
        <v>82</v>
      </c>
    </row>
    <row r="261" spans="18:24">
      <c r="R261">
        <f t="shared" ca="1" si="13"/>
        <v>1</v>
      </c>
      <c r="S261">
        <f>Metrics!B261</f>
        <v>0</v>
      </c>
      <c r="T261">
        <f>'Metric Details'!C261</f>
        <v>0</v>
      </c>
      <c r="U261">
        <f>IF('Metric Details'!F261=$H$1,0,IF('Metric Details'!F261=$H$2,1,2))</f>
        <v>2</v>
      </c>
      <c r="V261">
        <f>LEN('Metric Details'!H261)</f>
        <v>0</v>
      </c>
      <c r="W261">
        <f t="shared" si="14"/>
        <v>2</v>
      </c>
      <c r="X261">
        <f t="shared" ca="1" si="12"/>
        <v>82</v>
      </c>
    </row>
    <row r="262" spans="18:24">
      <c r="R262">
        <f t="shared" ca="1" si="13"/>
        <v>1</v>
      </c>
      <c r="S262">
        <f>Metrics!B262</f>
        <v>0</v>
      </c>
      <c r="T262">
        <f>'Metric Details'!C262</f>
        <v>0</v>
      </c>
      <c r="U262">
        <f>IF('Metric Details'!F262=$H$1,0,IF('Metric Details'!F262=$H$2,1,2))</f>
        <v>2</v>
      </c>
      <c r="V262">
        <f>LEN('Metric Details'!H262)</f>
        <v>0</v>
      </c>
      <c r="W262">
        <f t="shared" si="14"/>
        <v>2</v>
      </c>
      <c r="X262">
        <f t="shared" ref="X262:X325" ca="1" si="15">ROW(INDIRECT(ADDRESS(MATCH(S262,T:T,0),COLUMN(T262),1)))</f>
        <v>82</v>
      </c>
    </row>
    <row r="263" spans="18:24">
      <c r="R263">
        <f t="shared" ca="1" si="13"/>
        <v>1</v>
      </c>
      <c r="S263">
        <f>Metrics!B263</f>
        <v>0</v>
      </c>
      <c r="T263">
        <f>'Metric Details'!C263</f>
        <v>0</v>
      </c>
      <c r="U263">
        <f>IF('Metric Details'!F263=$H$1,0,IF('Metric Details'!F263=$H$2,1,2))</f>
        <v>2</v>
      </c>
      <c r="V263">
        <f>LEN('Metric Details'!H263)</f>
        <v>0</v>
      </c>
      <c r="W263">
        <f t="shared" si="14"/>
        <v>2</v>
      </c>
      <c r="X263">
        <f t="shared" ca="1" si="15"/>
        <v>82</v>
      </c>
    </row>
    <row r="264" spans="18:24">
      <c r="R264">
        <f t="shared" ca="1" si="13"/>
        <v>1</v>
      </c>
      <c r="S264">
        <f>Metrics!B264</f>
        <v>0</v>
      </c>
      <c r="T264">
        <f>'Metric Details'!C264</f>
        <v>0</v>
      </c>
      <c r="U264">
        <f>IF('Metric Details'!F264=$H$1,0,IF('Metric Details'!F264=$H$2,1,2))</f>
        <v>2</v>
      </c>
      <c r="V264">
        <f>LEN('Metric Details'!H264)</f>
        <v>0</v>
      </c>
      <c r="W264">
        <f t="shared" si="14"/>
        <v>2</v>
      </c>
      <c r="X264">
        <f t="shared" ca="1" si="15"/>
        <v>82</v>
      </c>
    </row>
    <row r="265" spans="18:24">
      <c r="R265">
        <f t="shared" ca="1" si="13"/>
        <v>1</v>
      </c>
      <c r="S265">
        <f>Metrics!B265</f>
        <v>0</v>
      </c>
      <c r="T265">
        <f>'Metric Details'!C265</f>
        <v>0</v>
      </c>
      <c r="U265">
        <f>IF('Metric Details'!F265=$H$1,0,IF('Metric Details'!F265=$H$2,1,2))</f>
        <v>2</v>
      </c>
      <c r="V265">
        <f>LEN('Metric Details'!H265)</f>
        <v>0</v>
      </c>
      <c r="W265">
        <f t="shared" si="14"/>
        <v>2</v>
      </c>
      <c r="X265">
        <f t="shared" ca="1" si="15"/>
        <v>82</v>
      </c>
    </row>
    <row r="266" spans="18:24">
      <c r="R266">
        <f t="shared" ca="1" si="13"/>
        <v>1</v>
      </c>
      <c r="S266">
        <f>Metrics!B266</f>
        <v>0</v>
      </c>
      <c r="T266">
        <f>'Metric Details'!C266</f>
        <v>0</v>
      </c>
      <c r="U266">
        <f>IF('Metric Details'!F266=$H$1,0,IF('Metric Details'!F266=$H$2,1,2))</f>
        <v>2</v>
      </c>
      <c r="V266">
        <f>LEN('Metric Details'!H266)</f>
        <v>0</v>
      </c>
      <c r="W266">
        <f t="shared" si="14"/>
        <v>2</v>
      </c>
      <c r="X266">
        <f t="shared" ca="1" si="15"/>
        <v>82</v>
      </c>
    </row>
    <row r="267" spans="18:24">
      <c r="R267">
        <f t="shared" ca="1" si="13"/>
        <v>1</v>
      </c>
      <c r="S267">
        <f>Metrics!B267</f>
        <v>0</v>
      </c>
      <c r="T267">
        <f>'Metric Details'!C267</f>
        <v>0</v>
      </c>
      <c r="U267">
        <f>IF('Metric Details'!F267=$H$1,0,IF('Metric Details'!F267=$H$2,1,2))</f>
        <v>2</v>
      </c>
      <c r="V267">
        <f>LEN('Metric Details'!H267)</f>
        <v>0</v>
      </c>
      <c r="W267">
        <f t="shared" si="14"/>
        <v>2</v>
      </c>
      <c r="X267">
        <f t="shared" ca="1" si="15"/>
        <v>82</v>
      </c>
    </row>
    <row r="268" spans="18:24">
      <c r="R268">
        <f t="shared" ca="1" si="13"/>
        <v>1</v>
      </c>
      <c r="S268">
        <f>Metrics!B268</f>
        <v>0</v>
      </c>
      <c r="T268">
        <f>'Metric Details'!C268</f>
        <v>0</v>
      </c>
      <c r="U268">
        <f>IF('Metric Details'!F268=$H$1,0,IF('Metric Details'!F268=$H$2,1,2))</f>
        <v>2</v>
      </c>
      <c r="V268">
        <f>LEN('Metric Details'!H268)</f>
        <v>0</v>
      </c>
      <c r="W268">
        <f t="shared" si="14"/>
        <v>2</v>
      </c>
      <c r="X268">
        <f t="shared" ca="1" si="15"/>
        <v>82</v>
      </c>
    </row>
    <row r="269" spans="18:24">
      <c r="R269">
        <f t="shared" ca="1" si="13"/>
        <v>1</v>
      </c>
      <c r="S269">
        <f>Metrics!B269</f>
        <v>0</v>
      </c>
      <c r="T269">
        <f>'Metric Details'!C269</f>
        <v>0</v>
      </c>
      <c r="U269">
        <f>IF('Metric Details'!F269=$H$1,0,IF('Metric Details'!F269=$H$2,1,2))</f>
        <v>2</v>
      </c>
      <c r="V269">
        <f>LEN('Metric Details'!H269)</f>
        <v>0</v>
      </c>
      <c r="W269">
        <f t="shared" si="14"/>
        <v>2</v>
      </c>
      <c r="X269">
        <f t="shared" ca="1" si="15"/>
        <v>82</v>
      </c>
    </row>
    <row r="270" spans="18:24">
      <c r="R270">
        <f t="shared" ca="1" si="13"/>
        <v>1</v>
      </c>
      <c r="S270">
        <f>Metrics!B270</f>
        <v>0</v>
      </c>
      <c r="T270">
        <f>'Metric Details'!C270</f>
        <v>0</v>
      </c>
      <c r="U270">
        <f>IF('Metric Details'!F270=$H$1,0,IF('Metric Details'!F270=$H$2,1,2))</f>
        <v>2</v>
      </c>
      <c r="V270">
        <f>LEN('Metric Details'!H270)</f>
        <v>0</v>
      </c>
      <c r="W270">
        <f t="shared" si="14"/>
        <v>2</v>
      </c>
      <c r="X270">
        <f t="shared" ca="1" si="15"/>
        <v>82</v>
      </c>
    </row>
    <row r="271" spans="18:24">
      <c r="R271">
        <f t="shared" ca="1" si="13"/>
        <v>1</v>
      </c>
      <c r="S271">
        <f>Metrics!B271</f>
        <v>0</v>
      </c>
      <c r="T271">
        <f>'Metric Details'!C271</f>
        <v>0</v>
      </c>
      <c r="U271">
        <f>IF('Metric Details'!F271=$H$1,0,IF('Metric Details'!F271=$H$2,1,2))</f>
        <v>2</v>
      </c>
      <c r="V271">
        <f>LEN('Metric Details'!H271)</f>
        <v>0</v>
      </c>
      <c r="W271">
        <f t="shared" si="14"/>
        <v>2</v>
      </c>
      <c r="X271">
        <f t="shared" ca="1" si="15"/>
        <v>82</v>
      </c>
    </row>
    <row r="272" spans="18:24">
      <c r="R272">
        <f t="shared" ca="1" si="13"/>
        <v>1</v>
      </c>
      <c r="S272">
        <f>Metrics!B272</f>
        <v>0</v>
      </c>
      <c r="T272">
        <f>'Metric Details'!C272</f>
        <v>0</v>
      </c>
      <c r="U272">
        <f>IF('Metric Details'!F272=$H$1,0,IF('Metric Details'!F272=$H$2,1,2))</f>
        <v>2</v>
      </c>
      <c r="V272">
        <f>LEN('Metric Details'!H272)</f>
        <v>0</v>
      </c>
      <c r="W272">
        <f t="shared" si="14"/>
        <v>2</v>
      </c>
      <c r="X272">
        <f t="shared" ca="1" si="15"/>
        <v>82</v>
      </c>
    </row>
    <row r="273" spans="18:24">
      <c r="R273">
        <f t="shared" ca="1" si="13"/>
        <v>1</v>
      </c>
      <c r="S273">
        <f>Metrics!B273</f>
        <v>0</v>
      </c>
      <c r="T273">
        <f>'Metric Details'!C273</f>
        <v>0</v>
      </c>
      <c r="U273">
        <f>IF('Metric Details'!F273=$H$1,0,IF('Metric Details'!F273=$H$2,1,2))</f>
        <v>2</v>
      </c>
      <c r="V273">
        <f>LEN('Metric Details'!H273)</f>
        <v>0</v>
      </c>
      <c r="W273">
        <f t="shared" si="14"/>
        <v>2</v>
      </c>
      <c r="X273">
        <f t="shared" ca="1" si="15"/>
        <v>82</v>
      </c>
    </row>
    <row r="274" spans="18:24">
      <c r="R274">
        <f t="shared" ca="1" si="13"/>
        <v>1</v>
      </c>
      <c r="S274">
        <f>Metrics!B274</f>
        <v>0</v>
      </c>
      <c r="T274">
        <f>'Metric Details'!C274</f>
        <v>0</v>
      </c>
      <c r="U274">
        <f>IF('Metric Details'!F274=$H$1,0,IF('Metric Details'!F274=$H$2,1,2))</f>
        <v>2</v>
      </c>
      <c r="V274">
        <f>LEN('Metric Details'!H274)</f>
        <v>0</v>
      </c>
      <c r="W274">
        <f t="shared" si="14"/>
        <v>2</v>
      </c>
      <c r="X274">
        <f t="shared" ca="1" si="15"/>
        <v>82</v>
      </c>
    </row>
    <row r="275" spans="18:24">
      <c r="R275">
        <f t="shared" ca="1" si="13"/>
        <v>1</v>
      </c>
      <c r="S275">
        <f>Metrics!B275</f>
        <v>0</v>
      </c>
      <c r="T275">
        <f>'Metric Details'!C275</f>
        <v>0</v>
      </c>
      <c r="U275">
        <f>IF('Metric Details'!F275=$H$1,0,IF('Metric Details'!F275=$H$2,1,2))</f>
        <v>2</v>
      </c>
      <c r="V275">
        <f>LEN('Metric Details'!H275)</f>
        <v>0</v>
      </c>
      <c r="W275">
        <f t="shared" si="14"/>
        <v>2</v>
      </c>
      <c r="X275">
        <f t="shared" ca="1" si="15"/>
        <v>82</v>
      </c>
    </row>
    <row r="276" spans="18:24">
      <c r="R276">
        <f t="shared" ca="1" si="13"/>
        <v>1</v>
      </c>
      <c r="S276">
        <f>Metrics!B276</f>
        <v>0</v>
      </c>
      <c r="T276">
        <f>'Metric Details'!C276</f>
        <v>0</v>
      </c>
      <c r="U276">
        <f>IF('Metric Details'!F276=$H$1,0,IF('Metric Details'!F276=$H$2,1,2))</f>
        <v>2</v>
      </c>
      <c r="V276">
        <f>LEN('Metric Details'!H276)</f>
        <v>0</v>
      </c>
      <c r="W276">
        <f t="shared" si="14"/>
        <v>2</v>
      </c>
      <c r="X276">
        <f t="shared" ca="1" si="15"/>
        <v>82</v>
      </c>
    </row>
    <row r="277" spans="18:24">
      <c r="R277">
        <f t="shared" ca="1" si="13"/>
        <v>1</v>
      </c>
      <c r="S277">
        <f>Metrics!B277</f>
        <v>0</v>
      </c>
      <c r="T277">
        <f>'Metric Details'!C277</f>
        <v>0</v>
      </c>
      <c r="U277">
        <f>IF('Metric Details'!F277=$H$1,0,IF('Metric Details'!F277=$H$2,1,2))</f>
        <v>2</v>
      </c>
      <c r="V277">
        <f>LEN('Metric Details'!H277)</f>
        <v>0</v>
      </c>
      <c r="W277">
        <f t="shared" si="14"/>
        <v>2</v>
      </c>
      <c r="X277">
        <f t="shared" ca="1" si="15"/>
        <v>82</v>
      </c>
    </row>
    <row r="278" spans="18:24">
      <c r="R278">
        <f t="shared" ca="1" si="13"/>
        <v>1</v>
      </c>
      <c r="S278">
        <f>Metrics!B278</f>
        <v>0</v>
      </c>
      <c r="T278">
        <f>'Metric Details'!C278</f>
        <v>0</v>
      </c>
      <c r="U278">
        <f>IF('Metric Details'!F278=$H$1,0,IF('Metric Details'!F278=$H$2,1,2))</f>
        <v>2</v>
      </c>
      <c r="V278">
        <f>LEN('Metric Details'!H278)</f>
        <v>0</v>
      </c>
      <c r="W278">
        <f t="shared" si="14"/>
        <v>2</v>
      </c>
      <c r="X278">
        <f t="shared" ca="1" si="15"/>
        <v>82</v>
      </c>
    </row>
    <row r="279" spans="18:24">
      <c r="R279">
        <f t="shared" ca="1" si="13"/>
        <v>1</v>
      </c>
      <c r="S279">
        <f>Metrics!B279</f>
        <v>0</v>
      </c>
      <c r="T279">
        <f>'Metric Details'!C279</f>
        <v>0</v>
      </c>
      <c r="U279">
        <f>IF('Metric Details'!F279=$H$1,0,IF('Metric Details'!F279=$H$2,1,2))</f>
        <v>2</v>
      </c>
      <c r="V279">
        <f>LEN('Metric Details'!H279)</f>
        <v>0</v>
      </c>
      <c r="W279">
        <f t="shared" si="14"/>
        <v>2</v>
      </c>
      <c r="X279">
        <f t="shared" ca="1" si="15"/>
        <v>82</v>
      </c>
    </row>
    <row r="280" spans="18:24">
      <c r="R280">
        <f t="shared" ca="1" si="13"/>
        <v>1</v>
      </c>
      <c r="S280">
        <f>Metrics!B280</f>
        <v>0</v>
      </c>
      <c r="T280">
        <f>'Metric Details'!C280</f>
        <v>0</v>
      </c>
      <c r="U280">
        <f>IF('Metric Details'!F280=$H$1,0,IF('Metric Details'!F280=$H$2,1,2))</f>
        <v>2</v>
      </c>
      <c r="V280">
        <f>LEN('Metric Details'!H280)</f>
        <v>0</v>
      </c>
      <c r="W280">
        <f t="shared" si="14"/>
        <v>2</v>
      </c>
      <c r="X280">
        <f t="shared" ca="1" si="15"/>
        <v>82</v>
      </c>
    </row>
    <row r="281" spans="18:24">
      <c r="R281">
        <f t="shared" ca="1" si="13"/>
        <v>1</v>
      </c>
      <c r="S281">
        <f>Metrics!B281</f>
        <v>0</v>
      </c>
      <c r="T281">
        <f>'Metric Details'!C281</f>
        <v>0</v>
      </c>
      <c r="U281">
        <f>IF('Metric Details'!F281=$H$1,0,IF('Metric Details'!F281=$H$2,1,2))</f>
        <v>2</v>
      </c>
      <c r="V281">
        <f>LEN('Metric Details'!H281)</f>
        <v>0</v>
      </c>
      <c r="W281">
        <f t="shared" si="14"/>
        <v>2</v>
      </c>
      <c r="X281">
        <f t="shared" ca="1" si="15"/>
        <v>82</v>
      </c>
    </row>
    <row r="282" spans="18:24">
      <c r="R282">
        <f t="shared" ca="1" si="13"/>
        <v>1</v>
      </c>
      <c r="S282">
        <f>Metrics!B282</f>
        <v>0</v>
      </c>
      <c r="T282">
        <f>'Metric Details'!C282</f>
        <v>0</v>
      </c>
      <c r="U282">
        <f>IF('Metric Details'!F282=$H$1,0,IF('Metric Details'!F282=$H$2,1,2))</f>
        <v>2</v>
      </c>
      <c r="V282">
        <f>LEN('Metric Details'!H282)</f>
        <v>0</v>
      </c>
      <c r="W282">
        <f t="shared" si="14"/>
        <v>2</v>
      </c>
      <c r="X282">
        <f t="shared" ca="1" si="15"/>
        <v>82</v>
      </c>
    </row>
    <row r="283" spans="18:24">
      <c r="R283">
        <f t="shared" ca="1" si="13"/>
        <v>1</v>
      </c>
      <c r="S283">
        <f>Metrics!B283</f>
        <v>0</v>
      </c>
      <c r="T283">
        <f>'Metric Details'!C283</f>
        <v>0</v>
      </c>
      <c r="U283">
        <f>IF('Metric Details'!F283=$H$1,0,IF('Metric Details'!F283=$H$2,1,2))</f>
        <v>2</v>
      </c>
      <c r="V283">
        <f>LEN('Metric Details'!H283)</f>
        <v>0</v>
      </c>
      <c r="W283">
        <f t="shared" si="14"/>
        <v>2</v>
      </c>
      <c r="X283">
        <f t="shared" ca="1" si="15"/>
        <v>82</v>
      </c>
    </row>
    <row r="284" spans="18:24">
      <c r="R284">
        <f t="shared" ca="1" si="13"/>
        <v>1</v>
      </c>
      <c r="S284">
        <f>Metrics!B284</f>
        <v>0</v>
      </c>
      <c r="T284">
        <f>'Metric Details'!C284</f>
        <v>0</v>
      </c>
      <c r="U284">
        <f>IF('Metric Details'!F284=$H$1,0,IF('Metric Details'!F284=$H$2,1,2))</f>
        <v>2</v>
      </c>
      <c r="V284">
        <f>LEN('Metric Details'!H284)</f>
        <v>0</v>
      </c>
      <c r="W284">
        <f t="shared" si="14"/>
        <v>2</v>
      </c>
      <c r="X284">
        <f t="shared" ca="1" si="15"/>
        <v>82</v>
      </c>
    </row>
    <row r="285" spans="18:24">
      <c r="R285">
        <f t="shared" ca="1" si="13"/>
        <v>1</v>
      </c>
      <c r="S285">
        <f>Metrics!B285</f>
        <v>0</v>
      </c>
      <c r="T285">
        <f>'Metric Details'!C285</f>
        <v>0</v>
      </c>
      <c r="U285">
        <f>IF('Metric Details'!F285=$H$1,0,IF('Metric Details'!F285=$H$2,1,2))</f>
        <v>2</v>
      </c>
      <c r="V285">
        <f>LEN('Metric Details'!H285)</f>
        <v>0</v>
      </c>
      <c r="W285">
        <f t="shared" si="14"/>
        <v>2</v>
      </c>
      <c r="X285">
        <f t="shared" ca="1" si="15"/>
        <v>82</v>
      </c>
    </row>
    <row r="286" spans="18:24">
      <c r="R286">
        <f t="shared" ca="1" si="13"/>
        <v>1</v>
      </c>
      <c r="S286">
        <f>Metrics!B286</f>
        <v>0</v>
      </c>
      <c r="T286">
        <f>'Metric Details'!C286</f>
        <v>0</v>
      </c>
      <c r="U286">
        <f>IF('Metric Details'!F286=$H$1,0,IF('Metric Details'!F286=$H$2,1,2))</f>
        <v>2</v>
      </c>
      <c r="V286">
        <f>LEN('Metric Details'!H286)</f>
        <v>0</v>
      </c>
      <c r="W286">
        <f t="shared" si="14"/>
        <v>2</v>
      </c>
      <c r="X286">
        <f t="shared" ca="1" si="15"/>
        <v>82</v>
      </c>
    </row>
    <row r="287" spans="18:24">
      <c r="R287">
        <f t="shared" ca="1" si="13"/>
        <v>1</v>
      </c>
      <c r="S287">
        <f>Metrics!B287</f>
        <v>0</v>
      </c>
      <c r="T287">
        <f>'Metric Details'!C287</f>
        <v>0</v>
      </c>
      <c r="U287">
        <f>IF('Metric Details'!F287=$H$1,0,IF('Metric Details'!F287=$H$2,1,2))</f>
        <v>2</v>
      </c>
      <c r="V287">
        <f>LEN('Metric Details'!H287)</f>
        <v>0</v>
      </c>
      <c r="W287">
        <f t="shared" si="14"/>
        <v>2</v>
      </c>
      <c r="X287">
        <f t="shared" ca="1" si="15"/>
        <v>82</v>
      </c>
    </row>
    <row r="288" spans="18:24">
      <c r="R288">
        <f t="shared" ca="1" si="13"/>
        <v>1</v>
      </c>
      <c r="S288">
        <f>Metrics!B288</f>
        <v>0</v>
      </c>
      <c r="T288">
        <f>'Metric Details'!C288</f>
        <v>0</v>
      </c>
      <c r="U288">
        <f>IF('Metric Details'!F288=$H$1,0,IF('Metric Details'!F288=$H$2,1,2))</f>
        <v>2</v>
      </c>
      <c r="V288">
        <f>LEN('Metric Details'!H288)</f>
        <v>0</v>
      </c>
      <c r="W288">
        <f t="shared" si="14"/>
        <v>2</v>
      </c>
      <c r="X288">
        <f t="shared" ca="1" si="15"/>
        <v>82</v>
      </c>
    </row>
    <row r="289" spans="18:24">
      <c r="R289">
        <f t="shared" ca="1" si="13"/>
        <v>1</v>
      </c>
      <c r="S289">
        <f>Metrics!B289</f>
        <v>0</v>
      </c>
      <c r="T289">
        <f>'Metric Details'!C289</f>
        <v>0</v>
      </c>
      <c r="U289">
        <f>IF('Metric Details'!F289=$H$1,0,IF('Metric Details'!F289=$H$2,1,2))</f>
        <v>2</v>
      </c>
      <c r="V289">
        <f>LEN('Metric Details'!H289)</f>
        <v>0</v>
      </c>
      <c r="W289">
        <f t="shared" si="14"/>
        <v>2</v>
      </c>
      <c r="X289">
        <f t="shared" ca="1" si="15"/>
        <v>82</v>
      </c>
    </row>
    <row r="290" spans="18:24">
      <c r="R290">
        <f t="shared" ca="1" si="13"/>
        <v>1</v>
      </c>
      <c r="S290">
        <f>Metrics!B290</f>
        <v>0</v>
      </c>
      <c r="T290">
        <f>'Metric Details'!C290</f>
        <v>0</v>
      </c>
      <c r="U290">
        <f>IF('Metric Details'!F290=$H$1,0,IF('Metric Details'!F290=$H$2,1,2))</f>
        <v>2</v>
      </c>
      <c r="V290">
        <f>LEN('Metric Details'!H290)</f>
        <v>0</v>
      </c>
      <c r="W290">
        <f t="shared" si="14"/>
        <v>2</v>
      </c>
      <c r="X290">
        <f t="shared" ca="1" si="15"/>
        <v>82</v>
      </c>
    </row>
    <row r="291" spans="18:24">
      <c r="R291">
        <f t="shared" ca="1" si="13"/>
        <v>1</v>
      </c>
      <c r="S291">
        <f>Metrics!B291</f>
        <v>0</v>
      </c>
      <c r="T291">
        <f>'Metric Details'!C291</f>
        <v>0</v>
      </c>
      <c r="U291">
        <f>IF('Metric Details'!F291=$H$1,0,IF('Metric Details'!F291=$H$2,1,2))</f>
        <v>2</v>
      </c>
      <c r="V291">
        <f>LEN('Metric Details'!H291)</f>
        <v>0</v>
      </c>
      <c r="W291">
        <f t="shared" si="14"/>
        <v>2</v>
      </c>
      <c r="X291">
        <f t="shared" ca="1" si="15"/>
        <v>82</v>
      </c>
    </row>
    <row r="292" spans="18:24">
      <c r="R292">
        <f t="shared" ca="1" si="13"/>
        <v>1</v>
      </c>
      <c r="S292">
        <f>Metrics!B292</f>
        <v>0</v>
      </c>
      <c r="T292">
        <f>'Metric Details'!C292</f>
        <v>0</v>
      </c>
      <c r="U292">
        <f>IF('Metric Details'!F292=$H$1,0,IF('Metric Details'!F292=$H$2,1,2))</f>
        <v>2</v>
      </c>
      <c r="V292">
        <f>LEN('Metric Details'!H292)</f>
        <v>0</v>
      </c>
      <c r="W292">
        <f t="shared" si="14"/>
        <v>2</v>
      </c>
      <c r="X292">
        <f t="shared" ca="1" si="15"/>
        <v>82</v>
      </c>
    </row>
    <row r="293" spans="18:24">
      <c r="R293">
        <f t="shared" ca="1" si="13"/>
        <v>1</v>
      </c>
      <c r="S293">
        <f>Metrics!B293</f>
        <v>0</v>
      </c>
      <c r="T293">
        <f>'Metric Details'!C293</f>
        <v>0</v>
      </c>
      <c r="U293">
        <f>IF('Metric Details'!F293=$H$1,0,IF('Metric Details'!F293=$H$2,1,2))</f>
        <v>2</v>
      </c>
      <c r="V293">
        <f>LEN('Metric Details'!H293)</f>
        <v>0</v>
      </c>
      <c r="W293">
        <f t="shared" si="14"/>
        <v>2</v>
      </c>
      <c r="X293">
        <f t="shared" ca="1" si="15"/>
        <v>82</v>
      </c>
    </row>
    <row r="294" spans="18:24">
      <c r="R294">
        <f t="shared" ca="1" si="13"/>
        <v>1</v>
      </c>
      <c r="S294">
        <f>Metrics!B294</f>
        <v>0</v>
      </c>
      <c r="T294">
        <f>'Metric Details'!C294</f>
        <v>0</v>
      </c>
      <c r="U294">
        <f>IF('Metric Details'!F294=$H$1,0,IF('Metric Details'!F294=$H$2,1,2))</f>
        <v>2</v>
      </c>
      <c r="V294">
        <f>LEN('Metric Details'!H294)</f>
        <v>0</v>
      </c>
      <c r="W294">
        <f t="shared" si="14"/>
        <v>2</v>
      </c>
      <c r="X294">
        <f t="shared" ca="1" si="15"/>
        <v>82</v>
      </c>
    </row>
    <row r="295" spans="18:24">
      <c r="R295">
        <f t="shared" ca="1" si="13"/>
        <v>1</v>
      </c>
      <c r="S295">
        <f>Metrics!B295</f>
        <v>0</v>
      </c>
      <c r="T295">
        <f>'Metric Details'!C295</f>
        <v>0</v>
      </c>
      <c r="U295">
        <f>IF('Metric Details'!F295=$H$1,0,IF('Metric Details'!F295=$H$2,1,2))</f>
        <v>2</v>
      </c>
      <c r="V295">
        <f>LEN('Metric Details'!H295)</f>
        <v>0</v>
      </c>
      <c r="W295">
        <f t="shared" si="14"/>
        <v>2</v>
      </c>
      <c r="X295">
        <f t="shared" ca="1" si="15"/>
        <v>82</v>
      </c>
    </row>
    <row r="296" spans="18:24">
      <c r="R296">
        <f t="shared" ca="1" si="13"/>
        <v>1</v>
      </c>
      <c r="S296">
        <f>Metrics!B296</f>
        <v>0</v>
      </c>
      <c r="T296">
        <f>'Metric Details'!C296</f>
        <v>0</v>
      </c>
      <c r="U296">
        <f>IF('Metric Details'!F296=$H$1,0,IF('Metric Details'!F296=$H$2,1,2))</f>
        <v>2</v>
      </c>
      <c r="V296">
        <f>LEN('Metric Details'!H296)</f>
        <v>0</v>
      </c>
      <c r="W296">
        <f t="shared" si="14"/>
        <v>2</v>
      </c>
      <c r="X296">
        <f t="shared" ca="1" si="15"/>
        <v>82</v>
      </c>
    </row>
    <row r="297" spans="18:24">
      <c r="R297">
        <f t="shared" ca="1" si="13"/>
        <v>1</v>
      </c>
      <c r="S297">
        <f>Metrics!B297</f>
        <v>0</v>
      </c>
      <c r="T297">
        <f>'Metric Details'!C297</f>
        <v>0</v>
      </c>
      <c r="U297">
        <f>IF('Metric Details'!F297=$H$1,0,IF('Metric Details'!F297=$H$2,1,2))</f>
        <v>2</v>
      </c>
      <c r="V297">
        <f>LEN('Metric Details'!H297)</f>
        <v>0</v>
      </c>
      <c r="W297">
        <f t="shared" si="14"/>
        <v>2</v>
      </c>
      <c r="X297">
        <f t="shared" ca="1" si="15"/>
        <v>82</v>
      </c>
    </row>
    <row r="298" spans="18:24">
      <c r="R298">
        <f t="shared" ca="1" si="13"/>
        <v>1</v>
      </c>
      <c r="S298">
        <f>Metrics!B298</f>
        <v>0</v>
      </c>
      <c r="T298">
        <f>'Metric Details'!C298</f>
        <v>0</v>
      </c>
      <c r="U298">
        <f>IF('Metric Details'!F298=$H$1,0,IF('Metric Details'!F298=$H$2,1,2))</f>
        <v>2</v>
      </c>
      <c r="V298">
        <f>LEN('Metric Details'!H298)</f>
        <v>0</v>
      </c>
      <c r="W298">
        <f t="shared" si="14"/>
        <v>2</v>
      </c>
      <c r="X298">
        <f t="shared" ca="1" si="15"/>
        <v>82</v>
      </c>
    </row>
    <row r="299" spans="18:24">
      <c r="R299">
        <f t="shared" ca="1" si="13"/>
        <v>1</v>
      </c>
      <c r="S299">
        <f>Metrics!B299</f>
        <v>0</v>
      </c>
      <c r="T299">
        <f>'Metric Details'!C299</f>
        <v>0</v>
      </c>
      <c r="U299">
        <f>IF('Metric Details'!F299=$H$1,0,IF('Metric Details'!F299=$H$2,1,2))</f>
        <v>2</v>
      </c>
      <c r="V299">
        <f>LEN('Metric Details'!H299)</f>
        <v>0</v>
      </c>
      <c r="W299">
        <f t="shared" si="14"/>
        <v>2</v>
      </c>
      <c r="X299">
        <f t="shared" ca="1" si="15"/>
        <v>82</v>
      </c>
    </row>
    <row r="300" spans="18:24">
      <c r="R300">
        <f t="shared" ca="1" si="13"/>
        <v>1</v>
      </c>
      <c r="S300">
        <f>Metrics!B300</f>
        <v>0</v>
      </c>
      <c r="T300">
        <f>'Metric Details'!C300</f>
        <v>0</v>
      </c>
      <c r="U300">
        <f>IF('Metric Details'!F300=$H$1,0,IF('Metric Details'!F300=$H$2,1,2))</f>
        <v>2</v>
      </c>
      <c r="V300">
        <f>LEN('Metric Details'!H300)</f>
        <v>0</v>
      </c>
      <c r="W300">
        <f t="shared" si="14"/>
        <v>2</v>
      </c>
      <c r="X300">
        <f t="shared" ca="1" si="15"/>
        <v>82</v>
      </c>
    </row>
    <row r="301" spans="18:24">
      <c r="R301">
        <f t="shared" ca="1" si="13"/>
        <v>1</v>
      </c>
      <c r="S301">
        <f>Metrics!B301</f>
        <v>0</v>
      </c>
      <c r="T301">
        <f>'Metric Details'!C301</f>
        <v>0</v>
      </c>
      <c r="U301">
        <f>IF('Metric Details'!F301=$H$1,0,IF('Metric Details'!F301=$H$2,1,2))</f>
        <v>2</v>
      </c>
      <c r="V301">
        <f>LEN('Metric Details'!H301)</f>
        <v>0</v>
      </c>
      <c r="W301">
        <f t="shared" si="14"/>
        <v>2</v>
      </c>
      <c r="X301">
        <f t="shared" ca="1" si="15"/>
        <v>82</v>
      </c>
    </row>
    <row r="302" spans="18:24">
      <c r="R302">
        <f t="shared" ca="1" si="13"/>
        <v>1</v>
      </c>
      <c r="S302">
        <f>Metrics!B302</f>
        <v>0</v>
      </c>
      <c r="T302">
        <f>'Metric Details'!C302</f>
        <v>0</v>
      </c>
      <c r="U302">
        <f>IF('Metric Details'!F302=$H$1,0,IF('Metric Details'!F302=$H$2,1,2))</f>
        <v>2</v>
      </c>
      <c r="V302">
        <f>LEN('Metric Details'!H302)</f>
        <v>0</v>
      </c>
      <c r="W302">
        <f t="shared" si="14"/>
        <v>2</v>
      </c>
      <c r="X302">
        <f t="shared" ca="1" si="15"/>
        <v>82</v>
      </c>
    </row>
    <row r="303" spans="18:24">
      <c r="R303">
        <f t="shared" ca="1" si="13"/>
        <v>1</v>
      </c>
      <c r="S303">
        <f>Metrics!B303</f>
        <v>0</v>
      </c>
      <c r="T303">
        <f>'Metric Details'!C303</f>
        <v>0</v>
      </c>
      <c r="U303">
        <f>IF('Metric Details'!F303=$H$1,0,IF('Metric Details'!F303=$H$2,1,2))</f>
        <v>2</v>
      </c>
      <c r="V303">
        <f>LEN('Metric Details'!H303)</f>
        <v>0</v>
      </c>
      <c r="W303">
        <f t="shared" si="14"/>
        <v>2</v>
      </c>
      <c r="X303">
        <f t="shared" ca="1" si="15"/>
        <v>82</v>
      </c>
    </row>
    <row r="304" spans="18:24">
      <c r="R304">
        <f t="shared" ca="1" si="13"/>
        <v>1</v>
      </c>
      <c r="S304">
        <f>Metrics!B304</f>
        <v>0</v>
      </c>
      <c r="T304">
        <f>'Metric Details'!C304</f>
        <v>0</v>
      </c>
      <c r="U304">
        <f>IF('Metric Details'!F304=$H$1,0,IF('Metric Details'!F304=$H$2,1,2))</f>
        <v>2</v>
      </c>
      <c r="V304">
        <f>LEN('Metric Details'!H304)</f>
        <v>0</v>
      </c>
      <c r="W304">
        <f t="shared" si="14"/>
        <v>2</v>
      </c>
      <c r="X304">
        <f t="shared" ca="1" si="15"/>
        <v>82</v>
      </c>
    </row>
    <row r="305" spans="18:24">
      <c r="R305">
        <f t="shared" ca="1" si="13"/>
        <v>1</v>
      </c>
      <c r="S305">
        <f>Metrics!B305</f>
        <v>0</v>
      </c>
      <c r="T305">
        <f>'Metric Details'!C305</f>
        <v>0</v>
      </c>
      <c r="U305">
        <f>IF('Metric Details'!F305=$H$1,0,IF('Metric Details'!F305=$H$2,1,2))</f>
        <v>2</v>
      </c>
      <c r="V305">
        <f>LEN('Metric Details'!H305)</f>
        <v>0</v>
      </c>
      <c r="W305">
        <f t="shared" si="14"/>
        <v>2</v>
      </c>
      <c r="X305">
        <f t="shared" ca="1" si="15"/>
        <v>82</v>
      </c>
    </row>
    <row r="306" spans="18:24">
      <c r="R306">
        <f t="shared" ca="1" si="13"/>
        <v>1</v>
      </c>
      <c r="S306">
        <f>Metrics!B306</f>
        <v>0</v>
      </c>
      <c r="T306">
        <f>'Metric Details'!C306</f>
        <v>0</v>
      </c>
      <c r="U306">
        <f>IF('Metric Details'!F306=$H$1,0,IF('Metric Details'!F306=$H$2,1,2))</f>
        <v>2</v>
      </c>
      <c r="V306">
        <f>LEN('Metric Details'!H306)</f>
        <v>0</v>
      </c>
      <c r="W306">
        <f t="shared" si="14"/>
        <v>2</v>
      </c>
      <c r="X306">
        <f t="shared" ca="1" si="15"/>
        <v>82</v>
      </c>
    </row>
    <row r="307" spans="18:24">
      <c r="R307">
        <f t="shared" ca="1" si="13"/>
        <v>1</v>
      </c>
      <c r="S307">
        <f>Metrics!B307</f>
        <v>0</v>
      </c>
      <c r="T307">
        <f>'Metric Details'!C307</f>
        <v>0</v>
      </c>
      <c r="U307">
        <f>IF('Metric Details'!F307=$H$1,0,IF('Metric Details'!F307=$H$2,1,2))</f>
        <v>2</v>
      </c>
      <c r="V307">
        <f>LEN('Metric Details'!H307)</f>
        <v>0</v>
      </c>
      <c r="W307">
        <f t="shared" si="14"/>
        <v>2</v>
      </c>
      <c r="X307">
        <f t="shared" ca="1" si="15"/>
        <v>82</v>
      </c>
    </row>
    <row r="308" spans="18:24">
      <c r="R308">
        <f t="shared" ca="1" si="13"/>
        <v>1</v>
      </c>
      <c r="S308">
        <f>Metrics!B308</f>
        <v>0</v>
      </c>
      <c r="T308">
        <f>'Metric Details'!C308</f>
        <v>0</v>
      </c>
      <c r="U308">
        <f>IF('Metric Details'!F308=$H$1,0,IF('Metric Details'!F308=$H$2,1,2))</f>
        <v>2</v>
      </c>
      <c r="V308">
        <f>LEN('Metric Details'!H308)</f>
        <v>0</v>
      </c>
      <c r="W308">
        <f t="shared" si="14"/>
        <v>2</v>
      </c>
      <c r="X308">
        <f t="shared" ca="1" si="15"/>
        <v>82</v>
      </c>
    </row>
    <row r="309" spans="18:24">
      <c r="R309">
        <f t="shared" ca="1" si="13"/>
        <v>1</v>
      </c>
      <c r="S309">
        <f>Metrics!B309</f>
        <v>0</v>
      </c>
      <c r="T309">
        <f>'Metric Details'!C309</f>
        <v>0</v>
      </c>
      <c r="U309">
        <f>IF('Metric Details'!F309=$H$1,0,IF('Metric Details'!F309=$H$2,1,2))</f>
        <v>2</v>
      </c>
      <c r="V309">
        <f>LEN('Metric Details'!H309)</f>
        <v>0</v>
      </c>
      <c r="W309">
        <f t="shared" si="14"/>
        <v>2</v>
      </c>
      <c r="X309">
        <f t="shared" ca="1" si="15"/>
        <v>82</v>
      </c>
    </row>
    <row r="310" spans="18:24">
      <c r="R310">
        <f t="shared" ca="1" si="13"/>
        <v>1</v>
      </c>
      <c r="S310">
        <f>Metrics!B310</f>
        <v>0</v>
      </c>
      <c r="T310">
        <f>'Metric Details'!C310</f>
        <v>0</v>
      </c>
      <c r="U310">
        <f>IF('Metric Details'!F310=$H$1,0,IF('Metric Details'!F310=$H$2,1,2))</f>
        <v>2</v>
      </c>
      <c r="V310">
        <f>LEN('Metric Details'!H310)</f>
        <v>0</v>
      </c>
      <c r="W310">
        <f t="shared" si="14"/>
        <v>2</v>
      </c>
      <c r="X310">
        <f t="shared" ca="1" si="15"/>
        <v>82</v>
      </c>
    </row>
    <row r="311" spans="18:24">
      <c r="R311">
        <f t="shared" ca="1" si="13"/>
        <v>1</v>
      </c>
      <c r="S311">
        <f>Metrics!B311</f>
        <v>0</v>
      </c>
      <c r="T311">
        <f>'Metric Details'!C311</f>
        <v>0</v>
      </c>
      <c r="U311">
        <f>IF('Metric Details'!F311=$H$1,0,IF('Metric Details'!F311=$H$2,1,2))</f>
        <v>2</v>
      </c>
      <c r="V311">
        <f>LEN('Metric Details'!H311)</f>
        <v>0</v>
      </c>
      <c r="W311">
        <f t="shared" si="14"/>
        <v>2</v>
      </c>
      <c r="X311">
        <f t="shared" ca="1" si="15"/>
        <v>82</v>
      </c>
    </row>
    <row r="312" spans="18:24">
      <c r="R312">
        <f t="shared" ca="1" si="13"/>
        <v>1</v>
      </c>
      <c r="S312">
        <f>Metrics!B312</f>
        <v>0</v>
      </c>
      <c r="T312">
        <f>'Metric Details'!C312</f>
        <v>0</v>
      </c>
      <c r="U312">
        <f>IF('Metric Details'!F312=$H$1,0,IF('Metric Details'!F312=$H$2,1,2))</f>
        <v>2</v>
      </c>
      <c r="V312">
        <f>LEN('Metric Details'!H312)</f>
        <v>0</v>
      </c>
      <c r="W312">
        <f t="shared" si="14"/>
        <v>2</v>
      </c>
      <c r="X312">
        <f t="shared" ca="1" si="15"/>
        <v>82</v>
      </c>
    </row>
    <row r="313" spans="18:24">
      <c r="R313">
        <f t="shared" ca="1" si="13"/>
        <v>1</v>
      </c>
      <c r="S313">
        <f>Metrics!B313</f>
        <v>0</v>
      </c>
      <c r="T313">
        <f>'Metric Details'!C313</f>
        <v>0</v>
      </c>
      <c r="U313">
        <f>IF('Metric Details'!F313=$H$1,0,IF('Metric Details'!F313=$H$2,1,2))</f>
        <v>2</v>
      </c>
      <c r="V313">
        <f>LEN('Metric Details'!H313)</f>
        <v>0</v>
      </c>
      <c r="W313">
        <f t="shared" si="14"/>
        <v>2</v>
      </c>
      <c r="X313">
        <f t="shared" ca="1" si="15"/>
        <v>82</v>
      </c>
    </row>
    <row r="314" spans="18:24">
      <c r="R314">
        <f t="shared" ca="1" si="13"/>
        <v>1</v>
      </c>
      <c r="S314">
        <f>Metrics!B314</f>
        <v>0</v>
      </c>
      <c r="T314">
        <f>'Metric Details'!C314</f>
        <v>0</v>
      </c>
      <c r="U314">
        <f>IF('Metric Details'!F314=$H$1,0,IF('Metric Details'!F314=$H$2,1,2))</f>
        <v>2</v>
      </c>
      <c r="V314">
        <f>LEN('Metric Details'!H314)</f>
        <v>0</v>
      </c>
      <c r="W314">
        <f t="shared" si="14"/>
        <v>2</v>
      </c>
      <c r="X314">
        <f t="shared" ca="1" si="15"/>
        <v>82</v>
      </c>
    </row>
    <row r="315" spans="18:24">
      <c r="R315">
        <f t="shared" ca="1" si="13"/>
        <v>1</v>
      </c>
      <c r="S315">
        <f>Metrics!B315</f>
        <v>0</v>
      </c>
      <c r="T315">
        <f>'Metric Details'!C315</f>
        <v>0</v>
      </c>
      <c r="U315">
        <f>IF('Metric Details'!F315=$H$1,0,IF('Metric Details'!F315=$H$2,1,2))</f>
        <v>2</v>
      </c>
      <c r="V315">
        <f>LEN('Metric Details'!H315)</f>
        <v>0</v>
      </c>
      <c r="W315">
        <f t="shared" si="14"/>
        <v>2</v>
      </c>
      <c r="X315">
        <f t="shared" ca="1" si="15"/>
        <v>82</v>
      </c>
    </row>
    <row r="316" spans="18:24">
      <c r="R316">
        <f t="shared" ca="1" si="13"/>
        <v>1</v>
      </c>
      <c r="S316">
        <f>Metrics!B316</f>
        <v>0</v>
      </c>
      <c r="T316">
        <f>'Metric Details'!C316</f>
        <v>0</v>
      </c>
      <c r="U316">
        <f>IF('Metric Details'!F316=$H$1,0,IF('Metric Details'!F316=$H$2,1,2))</f>
        <v>2</v>
      </c>
      <c r="V316">
        <f>LEN('Metric Details'!H316)</f>
        <v>0</v>
      </c>
      <c r="W316">
        <f t="shared" si="14"/>
        <v>2</v>
      </c>
      <c r="X316">
        <f t="shared" ca="1" si="15"/>
        <v>82</v>
      </c>
    </row>
    <row r="317" spans="18:24">
      <c r="R317">
        <f t="shared" ca="1" si="13"/>
        <v>1</v>
      </c>
      <c r="S317">
        <f>Metrics!B317</f>
        <v>0</v>
      </c>
      <c r="T317">
        <f>'Metric Details'!C317</f>
        <v>0</v>
      </c>
      <c r="U317">
        <f>IF('Metric Details'!F317=$H$1,0,IF('Metric Details'!F317=$H$2,1,2))</f>
        <v>2</v>
      </c>
      <c r="V317">
        <f>LEN('Metric Details'!H317)</f>
        <v>0</v>
      </c>
      <c r="W317">
        <f t="shared" si="14"/>
        <v>2</v>
      </c>
      <c r="X317">
        <f t="shared" ca="1" si="15"/>
        <v>82</v>
      </c>
    </row>
    <row r="318" spans="18:24">
      <c r="R318">
        <f t="shared" ca="1" si="13"/>
        <v>1</v>
      </c>
      <c r="S318">
        <f>Metrics!B318</f>
        <v>0</v>
      </c>
      <c r="T318">
        <f>'Metric Details'!C318</f>
        <v>0</v>
      </c>
      <c r="U318">
        <f>IF('Metric Details'!F318=$H$1,0,IF('Metric Details'!F318=$H$2,1,2))</f>
        <v>2</v>
      </c>
      <c r="V318">
        <f>LEN('Metric Details'!H318)</f>
        <v>0</v>
      </c>
      <c r="W318">
        <f t="shared" si="14"/>
        <v>2</v>
      </c>
      <c r="X318">
        <f t="shared" ca="1" si="15"/>
        <v>82</v>
      </c>
    </row>
    <row r="319" spans="18:24">
      <c r="R319">
        <f t="shared" ca="1" si="13"/>
        <v>1</v>
      </c>
      <c r="S319">
        <f>Metrics!B319</f>
        <v>0</v>
      </c>
      <c r="T319">
        <f>'Metric Details'!C319</f>
        <v>0</v>
      </c>
      <c r="U319">
        <f>IF('Metric Details'!F319=$H$1,0,IF('Metric Details'!F319=$H$2,1,2))</f>
        <v>2</v>
      </c>
      <c r="V319">
        <f>LEN('Metric Details'!H319)</f>
        <v>0</v>
      </c>
      <c r="W319">
        <f t="shared" si="14"/>
        <v>2</v>
      </c>
      <c r="X319">
        <f t="shared" ca="1" si="15"/>
        <v>82</v>
      </c>
    </row>
    <row r="320" spans="18:24">
      <c r="R320">
        <f t="shared" ca="1" si="13"/>
        <v>1</v>
      </c>
      <c r="S320">
        <f>Metrics!B320</f>
        <v>0</v>
      </c>
      <c r="T320">
        <f>'Metric Details'!C320</f>
        <v>0</v>
      </c>
      <c r="U320">
        <f>IF('Metric Details'!F320=$H$1,0,IF('Metric Details'!F320=$H$2,1,2))</f>
        <v>2</v>
      </c>
      <c r="V320">
        <f>LEN('Metric Details'!H320)</f>
        <v>0</v>
      </c>
      <c r="W320">
        <f t="shared" si="14"/>
        <v>2</v>
      </c>
      <c r="X320">
        <f t="shared" ca="1" si="15"/>
        <v>82</v>
      </c>
    </row>
    <row r="321" spans="18:24">
      <c r="R321">
        <f t="shared" ca="1" si="13"/>
        <v>1</v>
      </c>
      <c r="S321">
        <f>Metrics!B321</f>
        <v>0</v>
      </c>
      <c r="T321">
        <f>'Metric Details'!C321</f>
        <v>0</v>
      </c>
      <c r="U321">
        <f>IF('Metric Details'!F321=$H$1,0,IF('Metric Details'!F321=$H$2,1,2))</f>
        <v>2</v>
      </c>
      <c r="V321">
        <f>LEN('Metric Details'!H321)</f>
        <v>0</v>
      </c>
      <c r="W321">
        <f t="shared" si="14"/>
        <v>2</v>
      </c>
      <c r="X321">
        <f t="shared" ca="1" si="15"/>
        <v>82</v>
      </c>
    </row>
    <row r="322" spans="18:24">
      <c r="R322">
        <f t="shared" ca="1" si="13"/>
        <v>1</v>
      </c>
      <c r="S322">
        <f>Metrics!B322</f>
        <v>0</v>
      </c>
      <c r="T322">
        <f>'Metric Details'!C322</f>
        <v>0</v>
      </c>
      <c r="U322">
        <f>IF('Metric Details'!F322=$H$1,0,IF('Metric Details'!F322=$H$2,1,2))</f>
        <v>2</v>
      </c>
      <c r="V322">
        <f>LEN('Metric Details'!H322)</f>
        <v>0</v>
      </c>
      <c r="W322">
        <f t="shared" si="14"/>
        <v>2</v>
      </c>
      <c r="X322">
        <f t="shared" ca="1" si="15"/>
        <v>82</v>
      </c>
    </row>
    <row r="323" spans="18:24">
      <c r="R323">
        <f t="shared" ref="R323:R386" ca="1" si="16">IF(INDEX(W:W,X323)&gt;0,1,0)</f>
        <v>1</v>
      </c>
      <c r="S323">
        <f>Metrics!B323</f>
        <v>0</v>
      </c>
      <c r="T323">
        <f>'Metric Details'!C323</f>
        <v>0</v>
      </c>
      <c r="U323">
        <f>IF('Metric Details'!F323=$H$1,0,IF('Metric Details'!F323=$H$2,1,2))</f>
        <v>2</v>
      </c>
      <c r="V323">
        <f>LEN('Metric Details'!H323)</f>
        <v>0</v>
      </c>
      <c r="W323">
        <f t="shared" ref="W323:W386" si="17">IF(V323&gt;0,2,U323)</f>
        <v>2</v>
      </c>
      <c r="X323">
        <f t="shared" ca="1" si="15"/>
        <v>82</v>
      </c>
    </row>
    <row r="324" spans="18:24">
      <c r="R324">
        <f t="shared" ca="1" si="16"/>
        <v>1</v>
      </c>
      <c r="S324">
        <f>Metrics!B324</f>
        <v>0</v>
      </c>
      <c r="T324">
        <f>'Metric Details'!C324</f>
        <v>0</v>
      </c>
      <c r="U324">
        <f>IF('Metric Details'!F324=$H$1,0,IF('Metric Details'!F324=$H$2,1,2))</f>
        <v>2</v>
      </c>
      <c r="V324">
        <f>LEN('Metric Details'!H324)</f>
        <v>0</v>
      </c>
      <c r="W324">
        <f t="shared" si="17"/>
        <v>2</v>
      </c>
      <c r="X324">
        <f t="shared" ca="1" si="15"/>
        <v>82</v>
      </c>
    </row>
    <row r="325" spans="18:24">
      <c r="R325">
        <f t="shared" ca="1" si="16"/>
        <v>1</v>
      </c>
      <c r="S325">
        <f>Metrics!B325</f>
        <v>0</v>
      </c>
      <c r="T325">
        <f>'Metric Details'!C325</f>
        <v>0</v>
      </c>
      <c r="U325">
        <f>IF('Metric Details'!F325=$H$1,0,IF('Metric Details'!F325=$H$2,1,2))</f>
        <v>2</v>
      </c>
      <c r="V325">
        <f>LEN('Metric Details'!H325)</f>
        <v>0</v>
      </c>
      <c r="W325">
        <f t="shared" si="17"/>
        <v>2</v>
      </c>
      <c r="X325">
        <f t="shared" ca="1" si="15"/>
        <v>82</v>
      </c>
    </row>
    <row r="326" spans="18:24">
      <c r="R326">
        <f t="shared" ca="1" si="16"/>
        <v>1</v>
      </c>
      <c r="S326">
        <f>Metrics!B326</f>
        <v>0</v>
      </c>
      <c r="T326">
        <f>'Metric Details'!C326</f>
        <v>0</v>
      </c>
      <c r="U326">
        <f>IF('Metric Details'!F326=$H$1,0,IF('Metric Details'!F326=$H$2,1,2))</f>
        <v>2</v>
      </c>
      <c r="V326">
        <f>LEN('Metric Details'!H326)</f>
        <v>0</v>
      </c>
      <c r="W326">
        <f t="shared" si="17"/>
        <v>2</v>
      </c>
      <c r="X326">
        <f t="shared" ref="X326:X389" ca="1" si="18">ROW(INDIRECT(ADDRESS(MATCH(S326,T:T,0),COLUMN(T326),1)))</f>
        <v>82</v>
      </c>
    </row>
    <row r="327" spans="18:24">
      <c r="R327">
        <f t="shared" ca="1" si="16"/>
        <v>1</v>
      </c>
      <c r="S327">
        <f>Metrics!B327</f>
        <v>0</v>
      </c>
      <c r="T327">
        <f>'Metric Details'!C327</f>
        <v>0</v>
      </c>
      <c r="U327">
        <f>IF('Metric Details'!F327=$H$1,0,IF('Metric Details'!F327=$H$2,1,2))</f>
        <v>2</v>
      </c>
      <c r="V327">
        <f>LEN('Metric Details'!H327)</f>
        <v>0</v>
      </c>
      <c r="W327">
        <f t="shared" si="17"/>
        <v>2</v>
      </c>
      <c r="X327">
        <f t="shared" ca="1" si="18"/>
        <v>82</v>
      </c>
    </row>
    <row r="328" spans="18:24">
      <c r="R328">
        <f t="shared" ca="1" si="16"/>
        <v>1</v>
      </c>
      <c r="S328">
        <f>Metrics!B328</f>
        <v>0</v>
      </c>
      <c r="T328">
        <f>'Metric Details'!C328</f>
        <v>0</v>
      </c>
      <c r="U328">
        <f>IF('Metric Details'!F328=$H$1,0,IF('Metric Details'!F328=$H$2,1,2))</f>
        <v>2</v>
      </c>
      <c r="V328">
        <f>LEN('Metric Details'!H328)</f>
        <v>0</v>
      </c>
      <c r="W328">
        <f t="shared" si="17"/>
        <v>2</v>
      </c>
      <c r="X328">
        <f t="shared" ca="1" si="18"/>
        <v>82</v>
      </c>
    </row>
    <row r="329" spans="18:24">
      <c r="R329">
        <f t="shared" ca="1" si="16"/>
        <v>1</v>
      </c>
      <c r="S329">
        <f>Metrics!B329</f>
        <v>0</v>
      </c>
      <c r="T329">
        <f>'Metric Details'!C329</f>
        <v>0</v>
      </c>
      <c r="U329">
        <f>IF('Metric Details'!F329=$H$1,0,IF('Metric Details'!F329=$H$2,1,2))</f>
        <v>2</v>
      </c>
      <c r="V329">
        <f>LEN('Metric Details'!H329)</f>
        <v>0</v>
      </c>
      <c r="W329">
        <f t="shared" si="17"/>
        <v>2</v>
      </c>
      <c r="X329">
        <f t="shared" ca="1" si="18"/>
        <v>82</v>
      </c>
    </row>
    <row r="330" spans="18:24">
      <c r="R330">
        <f t="shared" ca="1" si="16"/>
        <v>1</v>
      </c>
      <c r="S330">
        <f>Metrics!B330</f>
        <v>0</v>
      </c>
      <c r="T330">
        <f>'Metric Details'!C330</f>
        <v>0</v>
      </c>
      <c r="U330">
        <f>IF('Metric Details'!F330=$H$1,0,IF('Metric Details'!F330=$H$2,1,2))</f>
        <v>2</v>
      </c>
      <c r="V330">
        <f>LEN('Metric Details'!H330)</f>
        <v>0</v>
      </c>
      <c r="W330">
        <f t="shared" si="17"/>
        <v>2</v>
      </c>
      <c r="X330">
        <f t="shared" ca="1" si="18"/>
        <v>82</v>
      </c>
    </row>
    <row r="331" spans="18:24">
      <c r="R331">
        <f t="shared" ca="1" si="16"/>
        <v>1</v>
      </c>
      <c r="S331">
        <f>Metrics!B331</f>
        <v>0</v>
      </c>
      <c r="T331">
        <f>'Metric Details'!C331</f>
        <v>0</v>
      </c>
      <c r="U331">
        <f>IF('Metric Details'!F331=$H$1,0,IF('Metric Details'!F331=$H$2,1,2))</f>
        <v>2</v>
      </c>
      <c r="V331">
        <f>LEN('Metric Details'!H331)</f>
        <v>0</v>
      </c>
      <c r="W331">
        <f t="shared" si="17"/>
        <v>2</v>
      </c>
      <c r="X331">
        <f t="shared" ca="1" si="18"/>
        <v>82</v>
      </c>
    </row>
    <row r="332" spans="18:24">
      <c r="R332">
        <f t="shared" ca="1" si="16"/>
        <v>1</v>
      </c>
      <c r="S332">
        <f>Metrics!B332</f>
        <v>0</v>
      </c>
      <c r="T332">
        <f>'Metric Details'!C332</f>
        <v>0</v>
      </c>
      <c r="U332">
        <f>IF('Metric Details'!F332=$H$1,0,IF('Metric Details'!F332=$H$2,1,2))</f>
        <v>2</v>
      </c>
      <c r="V332">
        <f>LEN('Metric Details'!H332)</f>
        <v>0</v>
      </c>
      <c r="W332">
        <f t="shared" si="17"/>
        <v>2</v>
      </c>
      <c r="X332">
        <f t="shared" ca="1" si="18"/>
        <v>82</v>
      </c>
    </row>
    <row r="333" spans="18:24">
      <c r="R333">
        <f t="shared" ca="1" si="16"/>
        <v>1</v>
      </c>
      <c r="S333">
        <f>Metrics!B333</f>
        <v>0</v>
      </c>
      <c r="T333">
        <f>'Metric Details'!C333</f>
        <v>0</v>
      </c>
      <c r="U333">
        <f>IF('Metric Details'!F333=$H$1,0,IF('Metric Details'!F333=$H$2,1,2))</f>
        <v>2</v>
      </c>
      <c r="V333">
        <f>LEN('Metric Details'!H333)</f>
        <v>0</v>
      </c>
      <c r="W333">
        <f t="shared" si="17"/>
        <v>2</v>
      </c>
      <c r="X333">
        <f t="shared" ca="1" si="18"/>
        <v>82</v>
      </c>
    </row>
    <row r="334" spans="18:24">
      <c r="R334">
        <f t="shared" ca="1" si="16"/>
        <v>1</v>
      </c>
      <c r="S334">
        <f>Metrics!B334</f>
        <v>0</v>
      </c>
      <c r="T334">
        <f>'Metric Details'!C334</f>
        <v>0</v>
      </c>
      <c r="U334">
        <f>IF('Metric Details'!F334=$H$1,0,IF('Metric Details'!F334=$H$2,1,2))</f>
        <v>2</v>
      </c>
      <c r="V334">
        <f>LEN('Metric Details'!H334)</f>
        <v>0</v>
      </c>
      <c r="W334">
        <f t="shared" si="17"/>
        <v>2</v>
      </c>
      <c r="X334">
        <f t="shared" ca="1" si="18"/>
        <v>82</v>
      </c>
    </row>
    <row r="335" spans="18:24">
      <c r="R335">
        <f t="shared" ca="1" si="16"/>
        <v>1</v>
      </c>
      <c r="S335">
        <f>Metrics!B335</f>
        <v>0</v>
      </c>
      <c r="T335">
        <f>'Metric Details'!C335</f>
        <v>0</v>
      </c>
      <c r="U335">
        <f>IF('Metric Details'!F335=$H$1,0,IF('Metric Details'!F335=$H$2,1,2))</f>
        <v>2</v>
      </c>
      <c r="V335">
        <f>LEN('Metric Details'!H335)</f>
        <v>0</v>
      </c>
      <c r="W335">
        <f t="shared" si="17"/>
        <v>2</v>
      </c>
      <c r="X335">
        <f t="shared" ca="1" si="18"/>
        <v>82</v>
      </c>
    </row>
    <row r="336" spans="18:24">
      <c r="R336">
        <f t="shared" ca="1" si="16"/>
        <v>1</v>
      </c>
      <c r="S336">
        <f>Metrics!B336</f>
        <v>0</v>
      </c>
      <c r="T336">
        <f>'Metric Details'!C336</f>
        <v>0</v>
      </c>
      <c r="U336">
        <f>IF('Metric Details'!F336=$H$1,0,IF('Metric Details'!F336=$H$2,1,2))</f>
        <v>2</v>
      </c>
      <c r="V336">
        <f>LEN('Metric Details'!H336)</f>
        <v>0</v>
      </c>
      <c r="W336">
        <f t="shared" si="17"/>
        <v>2</v>
      </c>
      <c r="X336">
        <f t="shared" ca="1" si="18"/>
        <v>82</v>
      </c>
    </row>
    <row r="337" spans="18:24">
      <c r="R337">
        <f t="shared" ca="1" si="16"/>
        <v>1</v>
      </c>
      <c r="S337">
        <f>Metrics!B337</f>
        <v>0</v>
      </c>
      <c r="T337">
        <f>'Metric Details'!C337</f>
        <v>0</v>
      </c>
      <c r="U337">
        <f>IF('Metric Details'!F337=$H$1,0,IF('Metric Details'!F337=$H$2,1,2))</f>
        <v>2</v>
      </c>
      <c r="V337">
        <f>LEN('Metric Details'!H337)</f>
        <v>0</v>
      </c>
      <c r="W337">
        <f t="shared" si="17"/>
        <v>2</v>
      </c>
      <c r="X337">
        <f t="shared" ca="1" si="18"/>
        <v>82</v>
      </c>
    </row>
    <row r="338" spans="18:24">
      <c r="R338">
        <f t="shared" ca="1" si="16"/>
        <v>1</v>
      </c>
      <c r="S338">
        <f>Metrics!B338</f>
        <v>0</v>
      </c>
      <c r="T338">
        <f>'Metric Details'!C338</f>
        <v>0</v>
      </c>
      <c r="U338">
        <f>IF('Metric Details'!F338=$H$1,0,IF('Metric Details'!F338=$H$2,1,2))</f>
        <v>2</v>
      </c>
      <c r="V338">
        <f>LEN('Metric Details'!H338)</f>
        <v>0</v>
      </c>
      <c r="W338">
        <f t="shared" si="17"/>
        <v>2</v>
      </c>
      <c r="X338">
        <f t="shared" ca="1" si="18"/>
        <v>82</v>
      </c>
    </row>
    <row r="339" spans="18:24">
      <c r="R339">
        <f t="shared" ca="1" si="16"/>
        <v>1</v>
      </c>
      <c r="S339">
        <f>Metrics!B339</f>
        <v>0</v>
      </c>
      <c r="T339">
        <f>'Metric Details'!C339</f>
        <v>0</v>
      </c>
      <c r="U339">
        <f>IF('Metric Details'!F339=$H$1,0,IF('Metric Details'!F339=$H$2,1,2))</f>
        <v>2</v>
      </c>
      <c r="V339">
        <f>LEN('Metric Details'!H339)</f>
        <v>0</v>
      </c>
      <c r="W339">
        <f t="shared" si="17"/>
        <v>2</v>
      </c>
      <c r="X339">
        <f t="shared" ca="1" si="18"/>
        <v>82</v>
      </c>
    </row>
    <row r="340" spans="18:24">
      <c r="R340">
        <f t="shared" ca="1" si="16"/>
        <v>1</v>
      </c>
      <c r="S340">
        <f>Metrics!B340</f>
        <v>0</v>
      </c>
      <c r="T340">
        <f>'Metric Details'!C340</f>
        <v>0</v>
      </c>
      <c r="U340">
        <f>IF('Metric Details'!F340=$H$1,0,IF('Metric Details'!F340=$H$2,1,2))</f>
        <v>2</v>
      </c>
      <c r="V340">
        <f>LEN('Metric Details'!H340)</f>
        <v>0</v>
      </c>
      <c r="W340">
        <f t="shared" si="17"/>
        <v>2</v>
      </c>
      <c r="X340">
        <f t="shared" ca="1" si="18"/>
        <v>82</v>
      </c>
    </row>
    <row r="341" spans="18:24">
      <c r="R341">
        <f t="shared" ca="1" si="16"/>
        <v>1</v>
      </c>
      <c r="S341">
        <f>Metrics!B341</f>
        <v>0</v>
      </c>
      <c r="T341">
        <f>'Metric Details'!C341</f>
        <v>0</v>
      </c>
      <c r="U341">
        <f>IF('Metric Details'!F341=$H$1,0,IF('Metric Details'!F341=$H$2,1,2))</f>
        <v>2</v>
      </c>
      <c r="V341">
        <f>LEN('Metric Details'!H341)</f>
        <v>0</v>
      </c>
      <c r="W341">
        <f t="shared" si="17"/>
        <v>2</v>
      </c>
      <c r="X341">
        <f t="shared" ca="1" si="18"/>
        <v>82</v>
      </c>
    </row>
    <row r="342" spans="18:24">
      <c r="R342">
        <f t="shared" ca="1" si="16"/>
        <v>1</v>
      </c>
      <c r="S342">
        <f>Metrics!B342</f>
        <v>0</v>
      </c>
      <c r="T342">
        <f>'Metric Details'!C342</f>
        <v>0</v>
      </c>
      <c r="U342">
        <f>IF('Metric Details'!F342=$H$1,0,IF('Metric Details'!F342=$H$2,1,2))</f>
        <v>2</v>
      </c>
      <c r="V342">
        <f>LEN('Metric Details'!H342)</f>
        <v>0</v>
      </c>
      <c r="W342">
        <f t="shared" si="17"/>
        <v>2</v>
      </c>
      <c r="X342">
        <f t="shared" ca="1" si="18"/>
        <v>82</v>
      </c>
    </row>
    <row r="343" spans="18:24">
      <c r="R343">
        <f t="shared" ca="1" si="16"/>
        <v>1</v>
      </c>
      <c r="S343">
        <f>Metrics!B343</f>
        <v>0</v>
      </c>
      <c r="T343">
        <f>'Metric Details'!C343</f>
        <v>0</v>
      </c>
      <c r="U343">
        <f>IF('Metric Details'!F343=$H$1,0,IF('Metric Details'!F343=$H$2,1,2))</f>
        <v>2</v>
      </c>
      <c r="V343">
        <f>LEN('Metric Details'!H343)</f>
        <v>0</v>
      </c>
      <c r="W343">
        <f t="shared" si="17"/>
        <v>2</v>
      </c>
      <c r="X343">
        <f t="shared" ca="1" si="18"/>
        <v>82</v>
      </c>
    </row>
    <row r="344" spans="18:24">
      <c r="R344">
        <f t="shared" ca="1" si="16"/>
        <v>1</v>
      </c>
      <c r="S344">
        <f>Metrics!B344</f>
        <v>0</v>
      </c>
      <c r="T344">
        <f>'Metric Details'!C344</f>
        <v>0</v>
      </c>
      <c r="U344">
        <f>IF('Metric Details'!F344=$H$1,0,IF('Metric Details'!F344=$H$2,1,2))</f>
        <v>2</v>
      </c>
      <c r="V344">
        <f>LEN('Metric Details'!H344)</f>
        <v>0</v>
      </c>
      <c r="W344">
        <f t="shared" si="17"/>
        <v>2</v>
      </c>
      <c r="X344">
        <f t="shared" ca="1" si="18"/>
        <v>82</v>
      </c>
    </row>
    <row r="345" spans="18:24">
      <c r="R345">
        <f t="shared" ca="1" si="16"/>
        <v>1</v>
      </c>
      <c r="S345">
        <f>Metrics!B345</f>
        <v>0</v>
      </c>
      <c r="T345">
        <f>'Metric Details'!C345</f>
        <v>0</v>
      </c>
      <c r="U345">
        <f>IF('Metric Details'!F345=$H$1,0,IF('Metric Details'!F345=$H$2,1,2))</f>
        <v>2</v>
      </c>
      <c r="V345">
        <f>LEN('Metric Details'!H345)</f>
        <v>0</v>
      </c>
      <c r="W345">
        <f t="shared" si="17"/>
        <v>2</v>
      </c>
      <c r="X345">
        <f t="shared" ca="1" si="18"/>
        <v>82</v>
      </c>
    </row>
    <row r="346" spans="18:24">
      <c r="R346">
        <f t="shared" ca="1" si="16"/>
        <v>1</v>
      </c>
      <c r="S346">
        <f>Metrics!B346</f>
        <v>0</v>
      </c>
      <c r="T346">
        <f>'Metric Details'!C346</f>
        <v>0</v>
      </c>
      <c r="U346">
        <f>IF('Metric Details'!F346=$H$1,0,IF('Metric Details'!F346=$H$2,1,2))</f>
        <v>2</v>
      </c>
      <c r="V346">
        <f>LEN('Metric Details'!H346)</f>
        <v>0</v>
      </c>
      <c r="W346">
        <f t="shared" si="17"/>
        <v>2</v>
      </c>
      <c r="X346">
        <f t="shared" ca="1" si="18"/>
        <v>82</v>
      </c>
    </row>
    <row r="347" spans="18:24">
      <c r="R347">
        <f t="shared" ca="1" si="16"/>
        <v>1</v>
      </c>
      <c r="S347">
        <f>Metrics!B347</f>
        <v>0</v>
      </c>
      <c r="T347">
        <f>'Metric Details'!C347</f>
        <v>0</v>
      </c>
      <c r="U347">
        <f>IF('Metric Details'!F347=$H$1,0,IF('Metric Details'!F347=$H$2,1,2))</f>
        <v>2</v>
      </c>
      <c r="V347">
        <f>LEN('Metric Details'!H347)</f>
        <v>0</v>
      </c>
      <c r="W347">
        <f t="shared" si="17"/>
        <v>2</v>
      </c>
      <c r="X347">
        <f t="shared" ca="1" si="18"/>
        <v>82</v>
      </c>
    </row>
    <row r="348" spans="18:24">
      <c r="R348">
        <f t="shared" ca="1" si="16"/>
        <v>1</v>
      </c>
      <c r="S348">
        <f>Metrics!B348</f>
        <v>0</v>
      </c>
      <c r="T348">
        <f>'Metric Details'!C348</f>
        <v>0</v>
      </c>
      <c r="U348">
        <f>IF('Metric Details'!F348=$H$1,0,IF('Metric Details'!F348=$H$2,1,2))</f>
        <v>2</v>
      </c>
      <c r="V348">
        <f>LEN('Metric Details'!H348)</f>
        <v>0</v>
      </c>
      <c r="W348">
        <f t="shared" si="17"/>
        <v>2</v>
      </c>
      <c r="X348">
        <f t="shared" ca="1" si="18"/>
        <v>82</v>
      </c>
    </row>
    <row r="349" spans="18:24">
      <c r="R349">
        <f t="shared" ca="1" si="16"/>
        <v>1</v>
      </c>
      <c r="S349">
        <f>Metrics!B349</f>
        <v>0</v>
      </c>
      <c r="T349">
        <f>'Metric Details'!C349</f>
        <v>0</v>
      </c>
      <c r="U349">
        <f>IF('Metric Details'!F349=$H$1,0,IF('Metric Details'!F349=$H$2,1,2))</f>
        <v>2</v>
      </c>
      <c r="V349">
        <f>LEN('Metric Details'!H349)</f>
        <v>0</v>
      </c>
      <c r="W349">
        <f t="shared" si="17"/>
        <v>2</v>
      </c>
      <c r="X349">
        <f t="shared" ca="1" si="18"/>
        <v>82</v>
      </c>
    </row>
    <row r="350" spans="18:24">
      <c r="R350">
        <f t="shared" ca="1" si="16"/>
        <v>1</v>
      </c>
      <c r="S350">
        <f>Metrics!B350</f>
        <v>0</v>
      </c>
      <c r="T350">
        <f>'Metric Details'!C350</f>
        <v>0</v>
      </c>
      <c r="U350">
        <f>IF('Metric Details'!F350=$H$1,0,IF('Metric Details'!F350=$H$2,1,2))</f>
        <v>2</v>
      </c>
      <c r="V350">
        <f>LEN('Metric Details'!H350)</f>
        <v>0</v>
      </c>
      <c r="W350">
        <f t="shared" si="17"/>
        <v>2</v>
      </c>
      <c r="X350">
        <f t="shared" ca="1" si="18"/>
        <v>82</v>
      </c>
    </row>
    <row r="351" spans="18:24">
      <c r="R351">
        <f t="shared" ca="1" si="16"/>
        <v>1</v>
      </c>
      <c r="S351">
        <f>Metrics!B351</f>
        <v>0</v>
      </c>
      <c r="T351">
        <f>'Metric Details'!C351</f>
        <v>0</v>
      </c>
      <c r="U351">
        <f>IF('Metric Details'!F351=$H$1,0,IF('Metric Details'!F351=$H$2,1,2))</f>
        <v>2</v>
      </c>
      <c r="V351">
        <f>LEN('Metric Details'!H351)</f>
        <v>0</v>
      </c>
      <c r="W351">
        <f t="shared" si="17"/>
        <v>2</v>
      </c>
      <c r="X351">
        <f t="shared" ca="1" si="18"/>
        <v>82</v>
      </c>
    </row>
    <row r="352" spans="18:24">
      <c r="R352">
        <f t="shared" ca="1" si="16"/>
        <v>1</v>
      </c>
      <c r="S352">
        <f>Metrics!B352</f>
        <v>0</v>
      </c>
      <c r="T352">
        <f>'Metric Details'!C352</f>
        <v>0</v>
      </c>
      <c r="U352">
        <f>IF('Metric Details'!F352=$H$1,0,IF('Metric Details'!F352=$H$2,1,2))</f>
        <v>2</v>
      </c>
      <c r="V352">
        <f>LEN('Metric Details'!H352)</f>
        <v>0</v>
      </c>
      <c r="W352">
        <f t="shared" si="17"/>
        <v>2</v>
      </c>
      <c r="X352">
        <f t="shared" ca="1" si="18"/>
        <v>82</v>
      </c>
    </row>
    <row r="353" spans="18:24">
      <c r="R353">
        <f t="shared" ca="1" si="16"/>
        <v>1</v>
      </c>
      <c r="S353">
        <f>Metrics!B353</f>
        <v>0</v>
      </c>
      <c r="T353">
        <f>'Metric Details'!C353</f>
        <v>0</v>
      </c>
      <c r="U353">
        <f>IF('Metric Details'!F353=$H$1,0,IF('Metric Details'!F353=$H$2,1,2))</f>
        <v>2</v>
      </c>
      <c r="V353">
        <f>LEN('Metric Details'!H353)</f>
        <v>0</v>
      </c>
      <c r="W353">
        <f t="shared" si="17"/>
        <v>2</v>
      </c>
      <c r="X353">
        <f t="shared" ca="1" si="18"/>
        <v>82</v>
      </c>
    </row>
    <row r="354" spans="18:24">
      <c r="R354">
        <f t="shared" ca="1" si="16"/>
        <v>1</v>
      </c>
      <c r="S354">
        <f>Metrics!B354</f>
        <v>0</v>
      </c>
      <c r="T354">
        <f>'Metric Details'!C354</f>
        <v>0</v>
      </c>
      <c r="U354">
        <f>IF('Metric Details'!F354=$H$1,0,IF('Metric Details'!F354=$H$2,1,2))</f>
        <v>2</v>
      </c>
      <c r="V354">
        <f>LEN('Metric Details'!H354)</f>
        <v>0</v>
      </c>
      <c r="W354">
        <f t="shared" si="17"/>
        <v>2</v>
      </c>
      <c r="X354">
        <f t="shared" ca="1" si="18"/>
        <v>82</v>
      </c>
    </row>
    <row r="355" spans="18:24">
      <c r="R355">
        <f t="shared" ca="1" si="16"/>
        <v>1</v>
      </c>
      <c r="S355">
        <f>Metrics!B355</f>
        <v>0</v>
      </c>
      <c r="T355">
        <f>'Metric Details'!C355</f>
        <v>0</v>
      </c>
      <c r="U355">
        <f>IF('Metric Details'!F355=$H$1,0,IF('Metric Details'!F355=$H$2,1,2))</f>
        <v>2</v>
      </c>
      <c r="V355">
        <f>LEN('Metric Details'!H355)</f>
        <v>0</v>
      </c>
      <c r="W355">
        <f t="shared" si="17"/>
        <v>2</v>
      </c>
      <c r="X355">
        <f t="shared" ca="1" si="18"/>
        <v>82</v>
      </c>
    </row>
    <row r="356" spans="18:24">
      <c r="R356">
        <f t="shared" ca="1" si="16"/>
        <v>1</v>
      </c>
      <c r="S356">
        <f>Metrics!B356</f>
        <v>0</v>
      </c>
      <c r="T356">
        <f>'Metric Details'!C356</f>
        <v>0</v>
      </c>
      <c r="U356">
        <f>IF('Metric Details'!F356=$H$1,0,IF('Metric Details'!F356=$H$2,1,2))</f>
        <v>2</v>
      </c>
      <c r="V356">
        <f>LEN('Metric Details'!H356)</f>
        <v>0</v>
      </c>
      <c r="W356">
        <f t="shared" si="17"/>
        <v>2</v>
      </c>
      <c r="X356">
        <f t="shared" ca="1" si="18"/>
        <v>82</v>
      </c>
    </row>
    <row r="357" spans="18:24">
      <c r="R357">
        <f t="shared" ca="1" si="16"/>
        <v>1</v>
      </c>
      <c r="S357">
        <f>Metrics!B357</f>
        <v>0</v>
      </c>
      <c r="T357">
        <f>'Metric Details'!C357</f>
        <v>0</v>
      </c>
      <c r="U357">
        <f>IF('Metric Details'!F357=$H$1,0,IF('Metric Details'!F357=$H$2,1,2))</f>
        <v>2</v>
      </c>
      <c r="V357">
        <f>LEN('Metric Details'!H357)</f>
        <v>0</v>
      </c>
      <c r="W357">
        <f t="shared" si="17"/>
        <v>2</v>
      </c>
      <c r="X357">
        <f t="shared" ca="1" si="18"/>
        <v>82</v>
      </c>
    </row>
    <row r="358" spans="18:24">
      <c r="R358">
        <f t="shared" ca="1" si="16"/>
        <v>1</v>
      </c>
      <c r="S358">
        <f>Metrics!B358</f>
        <v>0</v>
      </c>
      <c r="T358">
        <f>'Metric Details'!C358</f>
        <v>0</v>
      </c>
      <c r="U358">
        <f>IF('Metric Details'!F358=$H$1,0,IF('Metric Details'!F358=$H$2,1,2))</f>
        <v>2</v>
      </c>
      <c r="V358">
        <f>LEN('Metric Details'!H358)</f>
        <v>0</v>
      </c>
      <c r="W358">
        <f t="shared" si="17"/>
        <v>2</v>
      </c>
      <c r="X358">
        <f t="shared" ca="1" si="18"/>
        <v>82</v>
      </c>
    </row>
    <row r="359" spans="18:24">
      <c r="R359">
        <f t="shared" ca="1" si="16"/>
        <v>1</v>
      </c>
      <c r="S359">
        <f>Metrics!B359</f>
        <v>0</v>
      </c>
      <c r="T359">
        <f>'Metric Details'!C359</f>
        <v>0</v>
      </c>
      <c r="U359">
        <f>IF('Metric Details'!F359=$H$1,0,IF('Metric Details'!F359=$H$2,1,2))</f>
        <v>2</v>
      </c>
      <c r="V359">
        <f>LEN('Metric Details'!H359)</f>
        <v>0</v>
      </c>
      <c r="W359">
        <f t="shared" si="17"/>
        <v>2</v>
      </c>
      <c r="X359">
        <f t="shared" ca="1" si="18"/>
        <v>82</v>
      </c>
    </row>
    <row r="360" spans="18:24">
      <c r="R360">
        <f t="shared" ca="1" si="16"/>
        <v>1</v>
      </c>
      <c r="S360">
        <f>Metrics!B360</f>
        <v>0</v>
      </c>
      <c r="T360">
        <f>'Metric Details'!C360</f>
        <v>0</v>
      </c>
      <c r="U360">
        <f>IF('Metric Details'!F360=$H$1,0,IF('Metric Details'!F360=$H$2,1,2))</f>
        <v>2</v>
      </c>
      <c r="V360">
        <f>LEN('Metric Details'!H360)</f>
        <v>0</v>
      </c>
      <c r="W360">
        <f t="shared" si="17"/>
        <v>2</v>
      </c>
      <c r="X360">
        <f t="shared" ca="1" si="18"/>
        <v>82</v>
      </c>
    </row>
    <row r="361" spans="18:24">
      <c r="R361">
        <f t="shared" ca="1" si="16"/>
        <v>1</v>
      </c>
      <c r="S361">
        <f>Metrics!B361</f>
        <v>0</v>
      </c>
      <c r="T361">
        <f>'Metric Details'!C361</f>
        <v>0</v>
      </c>
      <c r="U361">
        <f>IF('Metric Details'!F361=$H$1,0,IF('Metric Details'!F361=$H$2,1,2))</f>
        <v>2</v>
      </c>
      <c r="V361">
        <f>LEN('Metric Details'!H361)</f>
        <v>0</v>
      </c>
      <c r="W361">
        <f t="shared" si="17"/>
        <v>2</v>
      </c>
      <c r="X361">
        <f t="shared" ca="1" si="18"/>
        <v>82</v>
      </c>
    </row>
    <row r="362" spans="18:24">
      <c r="R362">
        <f t="shared" ca="1" si="16"/>
        <v>1</v>
      </c>
      <c r="S362">
        <f>Metrics!B362</f>
        <v>0</v>
      </c>
      <c r="T362">
        <f>'Metric Details'!C362</f>
        <v>0</v>
      </c>
      <c r="U362">
        <f>IF('Metric Details'!F362=$H$1,0,IF('Metric Details'!F362=$H$2,1,2))</f>
        <v>2</v>
      </c>
      <c r="V362">
        <f>LEN('Metric Details'!H362)</f>
        <v>0</v>
      </c>
      <c r="W362">
        <f t="shared" si="17"/>
        <v>2</v>
      </c>
      <c r="X362">
        <f t="shared" ca="1" si="18"/>
        <v>82</v>
      </c>
    </row>
    <row r="363" spans="18:24">
      <c r="R363">
        <f t="shared" ca="1" si="16"/>
        <v>1</v>
      </c>
      <c r="S363">
        <f>Metrics!B363</f>
        <v>0</v>
      </c>
      <c r="T363">
        <f>'Metric Details'!C363</f>
        <v>0</v>
      </c>
      <c r="U363">
        <f>IF('Metric Details'!F363=$H$1,0,IF('Metric Details'!F363=$H$2,1,2))</f>
        <v>2</v>
      </c>
      <c r="V363">
        <f>LEN('Metric Details'!H363)</f>
        <v>0</v>
      </c>
      <c r="W363">
        <f t="shared" si="17"/>
        <v>2</v>
      </c>
      <c r="X363">
        <f t="shared" ca="1" si="18"/>
        <v>82</v>
      </c>
    </row>
    <row r="364" spans="18:24">
      <c r="R364">
        <f t="shared" ca="1" si="16"/>
        <v>1</v>
      </c>
      <c r="S364">
        <f>Metrics!B364</f>
        <v>0</v>
      </c>
      <c r="T364">
        <f>'Metric Details'!C364</f>
        <v>0</v>
      </c>
      <c r="U364">
        <f>IF('Metric Details'!F364=$H$1,0,IF('Metric Details'!F364=$H$2,1,2))</f>
        <v>2</v>
      </c>
      <c r="V364">
        <f>LEN('Metric Details'!H364)</f>
        <v>0</v>
      </c>
      <c r="W364">
        <f t="shared" si="17"/>
        <v>2</v>
      </c>
      <c r="X364">
        <f t="shared" ca="1" si="18"/>
        <v>82</v>
      </c>
    </row>
    <row r="365" spans="18:24">
      <c r="R365">
        <f t="shared" ca="1" si="16"/>
        <v>1</v>
      </c>
      <c r="S365">
        <f>Metrics!B365</f>
        <v>0</v>
      </c>
      <c r="T365">
        <f>'Metric Details'!C365</f>
        <v>0</v>
      </c>
      <c r="U365">
        <f>IF('Metric Details'!F365=$H$1,0,IF('Metric Details'!F365=$H$2,1,2))</f>
        <v>2</v>
      </c>
      <c r="V365">
        <f>LEN('Metric Details'!H365)</f>
        <v>0</v>
      </c>
      <c r="W365">
        <f t="shared" si="17"/>
        <v>2</v>
      </c>
      <c r="X365">
        <f t="shared" ca="1" si="18"/>
        <v>82</v>
      </c>
    </row>
    <row r="366" spans="18:24">
      <c r="R366">
        <f t="shared" ca="1" si="16"/>
        <v>1</v>
      </c>
      <c r="S366">
        <f>Metrics!B366</f>
        <v>0</v>
      </c>
      <c r="T366">
        <f>'Metric Details'!C366</f>
        <v>0</v>
      </c>
      <c r="U366">
        <f>IF('Metric Details'!F366=$H$1,0,IF('Metric Details'!F366=$H$2,1,2))</f>
        <v>2</v>
      </c>
      <c r="V366">
        <f>LEN('Metric Details'!H366)</f>
        <v>0</v>
      </c>
      <c r="W366">
        <f t="shared" si="17"/>
        <v>2</v>
      </c>
      <c r="X366">
        <f t="shared" ca="1" si="18"/>
        <v>82</v>
      </c>
    </row>
    <row r="367" spans="18:24">
      <c r="R367">
        <f t="shared" ca="1" si="16"/>
        <v>1</v>
      </c>
      <c r="S367">
        <f>Metrics!B367</f>
        <v>0</v>
      </c>
      <c r="T367">
        <f>'Metric Details'!C367</f>
        <v>0</v>
      </c>
      <c r="U367">
        <f>IF('Metric Details'!F367=$H$1,0,IF('Metric Details'!F367=$H$2,1,2))</f>
        <v>2</v>
      </c>
      <c r="V367">
        <f>LEN('Metric Details'!H367)</f>
        <v>0</v>
      </c>
      <c r="W367">
        <f t="shared" si="17"/>
        <v>2</v>
      </c>
      <c r="X367">
        <f t="shared" ca="1" si="18"/>
        <v>82</v>
      </c>
    </row>
    <row r="368" spans="18:24">
      <c r="R368">
        <f t="shared" ca="1" si="16"/>
        <v>1</v>
      </c>
      <c r="S368">
        <f>Metrics!B368</f>
        <v>0</v>
      </c>
      <c r="T368">
        <f>'Metric Details'!C368</f>
        <v>0</v>
      </c>
      <c r="U368">
        <f>IF('Metric Details'!F368=$H$1,0,IF('Metric Details'!F368=$H$2,1,2))</f>
        <v>2</v>
      </c>
      <c r="V368">
        <f>LEN('Metric Details'!H368)</f>
        <v>0</v>
      </c>
      <c r="W368">
        <f t="shared" si="17"/>
        <v>2</v>
      </c>
      <c r="X368">
        <f t="shared" ca="1" si="18"/>
        <v>82</v>
      </c>
    </row>
    <row r="369" spans="18:24">
      <c r="R369">
        <f t="shared" ca="1" si="16"/>
        <v>1</v>
      </c>
      <c r="S369">
        <f>Metrics!B369</f>
        <v>0</v>
      </c>
      <c r="T369">
        <f>'Metric Details'!C369</f>
        <v>0</v>
      </c>
      <c r="U369">
        <f>IF('Metric Details'!F369=$H$1,0,IF('Metric Details'!F369=$H$2,1,2))</f>
        <v>2</v>
      </c>
      <c r="V369">
        <f>LEN('Metric Details'!H369)</f>
        <v>0</v>
      </c>
      <c r="W369">
        <f t="shared" si="17"/>
        <v>2</v>
      </c>
      <c r="X369">
        <f t="shared" ca="1" si="18"/>
        <v>82</v>
      </c>
    </row>
    <row r="370" spans="18:24">
      <c r="R370">
        <f t="shared" ca="1" si="16"/>
        <v>1</v>
      </c>
      <c r="S370">
        <f>Metrics!B370</f>
        <v>0</v>
      </c>
      <c r="T370">
        <f>'Metric Details'!C370</f>
        <v>0</v>
      </c>
      <c r="U370">
        <f>IF('Metric Details'!F370=$H$1,0,IF('Metric Details'!F370=$H$2,1,2))</f>
        <v>2</v>
      </c>
      <c r="V370">
        <f>LEN('Metric Details'!H370)</f>
        <v>0</v>
      </c>
      <c r="W370">
        <f t="shared" si="17"/>
        <v>2</v>
      </c>
      <c r="X370">
        <f t="shared" ca="1" si="18"/>
        <v>82</v>
      </c>
    </row>
    <row r="371" spans="18:24">
      <c r="R371">
        <f t="shared" ca="1" si="16"/>
        <v>1</v>
      </c>
      <c r="S371">
        <f>Metrics!B371</f>
        <v>0</v>
      </c>
      <c r="T371">
        <f>'Metric Details'!C371</f>
        <v>0</v>
      </c>
      <c r="U371">
        <f>IF('Metric Details'!F371=$H$1,0,IF('Metric Details'!F371=$H$2,1,2))</f>
        <v>2</v>
      </c>
      <c r="V371">
        <f>LEN('Metric Details'!H371)</f>
        <v>0</v>
      </c>
      <c r="W371">
        <f t="shared" si="17"/>
        <v>2</v>
      </c>
      <c r="X371">
        <f t="shared" ca="1" si="18"/>
        <v>82</v>
      </c>
    </row>
    <row r="372" spans="18:24">
      <c r="R372">
        <f t="shared" ca="1" si="16"/>
        <v>1</v>
      </c>
      <c r="S372">
        <f>Metrics!B372</f>
        <v>0</v>
      </c>
      <c r="T372">
        <f>'Metric Details'!C372</f>
        <v>0</v>
      </c>
      <c r="U372">
        <f>IF('Metric Details'!F372=$H$1,0,IF('Metric Details'!F372=$H$2,1,2))</f>
        <v>2</v>
      </c>
      <c r="V372">
        <f>LEN('Metric Details'!H372)</f>
        <v>0</v>
      </c>
      <c r="W372">
        <f t="shared" si="17"/>
        <v>2</v>
      </c>
      <c r="X372">
        <f t="shared" ca="1" si="18"/>
        <v>82</v>
      </c>
    </row>
    <row r="373" spans="18:24">
      <c r="R373">
        <f t="shared" ca="1" si="16"/>
        <v>1</v>
      </c>
      <c r="S373">
        <f>Metrics!B373</f>
        <v>0</v>
      </c>
      <c r="T373">
        <f>'Metric Details'!C373</f>
        <v>0</v>
      </c>
      <c r="U373">
        <f>IF('Metric Details'!F373=$H$1,0,IF('Metric Details'!F373=$H$2,1,2))</f>
        <v>2</v>
      </c>
      <c r="V373">
        <f>LEN('Metric Details'!H373)</f>
        <v>0</v>
      </c>
      <c r="W373">
        <f t="shared" si="17"/>
        <v>2</v>
      </c>
      <c r="X373">
        <f t="shared" ca="1" si="18"/>
        <v>82</v>
      </c>
    </row>
    <row r="374" spans="18:24">
      <c r="R374">
        <f t="shared" ca="1" si="16"/>
        <v>1</v>
      </c>
      <c r="S374">
        <f>Metrics!B374</f>
        <v>0</v>
      </c>
      <c r="T374">
        <f>'Metric Details'!C374</f>
        <v>0</v>
      </c>
      <c r="U374">
        <f>IF('Metric Details'!F374=$H$1,0,IF('Metric Details'!F374=$H$2,1,2))</f>
        <v>2</v>
      </c>
      <c r="V374">
        <f>LEN('Metric Details'!H374)</f>
        <v>0</v>
      </c>
      <c r="W374">
        <f t="shared" si="17"/>
        <v>2</v>
      </c>
      <c r="X374">
        <f t="shared" ca="1" si="18"/>
        <v>82</v>
      </c>
    </row>
    <row r="375" spans="18:24">
      <c r="R375">
        <f t="shared" ca="1" si="16"/>
        <v>1</v>
      </c>
      <c r="S375">
        <f>Metrics!B375</f>
        <v>0</v>
      </c>
      <c r="T375">
        <f>'Metric Details'!C375</f>
        <v>0</v>
      </c>
      <c r="U375">
        <f>IF('Metric Details'!F375=$H$1,0,IF('Metric Details'!F375=$H$2,1,2))</f>
        <v>2</v>
      </c>
      <c r="V375">
        <f>LEN('Metric Details'!H375)</f>
        <v>0</v>
      </c>
      <c r="W375">
        <f t="shared" si="17"/>
        <v>2</v>
      </c>
      <c r="X375">
        <f t="shared" ca="1" si="18"/>
        <v>82</v>
      </c>
    </row>
    <row r="376" spans="18:24">
      <c r="R376">
        <f t="shared" ca="1" si="16"/>
        <v>1</v>
      </c>
      <c r="S376">
        <f>Metrics!B376</f>
        <v>0</v>
      </c>
      <c r="T376">
        <f>'Metric Details'!C376</f>
        <v>0</v>
      </c>
      <c r="U376">
        <f>IF('Metric Details'!F376=$H$1,0,IF('Metric Details'!F376=$H$2,1,2))</f>
        <v>2</v>
      </c>
      <c r="V376">
        <f>LEN('Metric Details'!H376)</f>
        <v>0</v>
      </c>
      <c r="W376">
        <f t="shared" si="17"/>
        <v>2</v>
      </c>
      <c r="X376">
        <f t="shared" ca="1" si="18"/>
        <v>82</v>
      </c>
    </row>
    <row r="377" spans="18:24">
      <c r="R377">
        <f t="shared" ca="1" si="16"/>
        <v>1</v>
      </c>
      <c r="S377">
        <f>Metrics!B377</f>
        <v>0</v>
      </c>
      <c r="T377">
        <f>'Metric Details'!C377</f>
        <v>0</v>
      </c>
      <c r="U377">
        <f>IF('Metric Details'!F377=$H$1,0,IF('Metric Details'!F377=$H$2,1,2))</f>
        <v>2</v>
      </c>
      <c r="V377">
        <f>LEN('Metric Details'!H377)</f>
        <v>0</v>
      </c>
      <c r="W377">
        <f t="shared" si="17"/>
        <v>2</v>
      </c>
      <c r="X377">
        <f t="shared" ca="1" si="18"/>
        <v>82</v>
      </c>
    </row>
    <row r="378" spans="18:24">
      <c r="R378">
        <f t="shared" ca="1" si="16"/>
        <v>1</v>
      </c>
      <c r="S378">
        <f>Metrics!B378</f>
        <v>0</v>
      </c>
      <c r="T378">
        <f>'Metric Details'!C378</f>
        <v>0</v>
      </c>
      <c r="U378">
        <f>IF('Metric Details'!F378=$H$1,0,IF('Metric Details'!F378=$H$2,1,2))</f>
        <v>2</v>
      </c>
      <c r="V378">
        <f>LEN('Metric Details'!H378)</f>
        <v>0</v>
      </c>
      <c r="W378">
        <f t="shared" si="17"/>
        <v>2</v>
      </c>
      <c r="X378">
        <f t="shared" ca="1" si="18"/>
        <v>82</v>
      </c>
    </row>
    <row r="379" spans="18:24">
      <c r="R379">
        <f t="shared" ca="1" si="16"/>
        <v>1</v>
      </c>
      <c r="S379">
        <f>Metrics!B379</f>
        <v>0</v>
      </c>
      <c r="T379">
        <f>'Metric Details'!C379</f>
        <v>0</v>
      </c>
      <c r="U379">
        <f>IF('Metric Details'!F379=$H$1,0,IF('Metric Details'!F379=$H$2,1,2))</f>
        <v>2</v>
      </c>
      <c r="V379">
        <f>LEN('Metric Details'!H379)</f>
        <v>0</v>
      </c>
      <c r="W379">
        <f t="shared" si="17"/>
        <v>2</v>
      </c>
      <c r="X379">
        <f t="shared" ca="1" si="18"/>
        <v>82</v>
      </c>
    </row>
    <row r="380" spans="18:24">
      <c r="R380">
        <f t="shared" ca="1" si="16"/>
        <v>1</v>
      </c>
      <c r="S380">
        <f>Metrics!B380</f>
        <v>0</v>
      </c>
      <c r="T380">
        <f>'Metric Details'!C380</f>
        <v>0</v>
      </c>
      <c r="U380">
        <f>IF('Metric Details'!F380=$H$1,0,IF('Metric Details'!F380=$H$2,1,2))</f>
        <v>2</v>
      </c>
      <c r="V380">
        <f>LEN('Metric Details'!H380)</f>
        <v>0</v>
      </c>
      <c r="W380">
        <f t="shared" si="17"/>
        <v>2</v>
      </c>
      <c r="X380">
        <f t="shared" ca="1" si="18"/>
        <v>82</v>
      </c>
    </row>
    <row r="381" spans="18:24">
      <c r="R381">
        <f t="shared" ca="1" si="16"/>
        <v>1</v>
      </c>
      <c r="S381">
        <f>Metrics!B381</f>
        <v>0</v>
      </c>
      <c r="T381">
        <f>'Metric Details'!C381</f>
        <v>0</v>
      </c>
      <c r="U381">
        <f>IF('Metric Details'!F381=$H$1,0,IF('Metric Details'!F381=$H$2,1,2))</f>
        <v>2</v>
      </c>
      <c r="V381">
        <f>LEN('Metric Details'!H381)</f>
        <v>0</v>
      </c>
      <c r="W381">
        <f t="shared" si="17"/>
        <v>2</v>
      </c>
      <c r="X381">
        <f t="shared" ca="1" si="18"/>
        <v>82</v>
      </c>
    </row>
    <row r="382" spans="18:24">
      <c r="R382">
        <f t="shared" ca="1" si="16"/>
        <v>1</v>
      </c>
      <c r="S382">
        <f>Metrics!B382</f>
        <v>0</v>
      </c>
      <c r="T382">
        <f>'Metric Details'!C382</f>
        <v>0</v>
      </c>
      <c r="U382">
        <f>IF('Metric Details'!F382=$H$1,0,IF('Metric Details'!F382=$H$2,1,2))</f>
        <v>2</v>
      </c>
      <c r="V382">
        <f>LEN('Metric Details'!H382)</f>
        <v>0</v>
      </c>
      <c r="W382">
        <f t="shared" si="17"/>
        <v>2</v>
      </c>
      <c r="X382">
        <f t="shared" ca="1" si="18"/>
        <v>82</v>
      </c>
    </row>
    <row r="383" spans="18:24">
      <c r="R383">
        <f t="shared" ca="1" si="16"/>
        <v>1</v>
      </c>
      <c r="S383">
        <f>Metrics!B383</f>
        <v>0</v>
      </c>
      <c r="T383">
        <f>'Metric Details'!C383</f>
        <v>0</v>
      </c>
      <c r="U383">
        <f>IF('Metric Details'!F383=$H$1,0,IF('Metric Details'!F383=$H$2,1,2))</f>
        <v>2</v>
      </c>
      <c r="V383">
        <f>LEN('Metric Details'!H383)</f>
        <v>0</v>
      </c>
      <c r="W383">
        <f t="shared" si="17"/>
        <v>2</v>
      </c>
      <c r="X383">
        <f t="shared" ca="1" si="18"/>
        <v>82</v>
      </c>
    </row>
    <row r="384" spans="18:24">
      <c r="R384">
        <f t="shared" ca="1" si="16"/>
        <v>1</v>
      </c>
      <c r="S384">
        <f>Metrics!B384</f>
        <v>0</v>
      </c>
      <c r="T384">
        <f>'Metric Details'!C384</f>
        <v>0</v>
      </c>
      <c r="U384">
        <f>IF('Metric Details'!F384=$H$1,0,IF('Metric Details'!F384=$H$2,1,2))</f>
        <v>2</v>
      </c>
      <c r="V384">
        <f>LEN('Metric Details'!H384)</f>
        <v>0</v>
      </c>
      <c r="W384">
        <f t="shared" si="17"/>
        <v>2</v>
      </c>
      <c r="X384">
        <f t="shared" ca="1" si="18"/>
        <v>82</v>
      </c>
    </row>
    <row r="385" spans="18:24">
      <c r="R385">
        <f t="shared" ca="1" si="16"/>
        <v>1</v>
      </c>
      <c r="S385">
        <f>Metrics!B385</f>
        <v>0</v>
      </c>
      <c r="T385">
        <f>'Metric Details'!C385</f>
        <v>0</v>
      </c>
      <c r="U385">
        <f>IF('Metric Details'!F385=$H$1,0,IF('Metric Details'!F385=$H$2,1,2))</f>
        <v>2</v>
      </c>
      <c r="V385">
        <f>LEN('Metric Details'!H385)</f>
        <v>0</v>
      </c>
      <c r="W385">
        <f t="shared" si="17"/>
        <v>2</v>
      </c>
      <c r="X385">
        <f t="shared" ca="1" si="18"/>
        <v>82</v>
      </c>
    </row>
    <row r="386" spans="18:24">
      <c r="R386">
        <f t="shared" ca="1" si="16"/>
        <v>1</v>
      </c>
      <c r="S386">
        <f>Metrics!B386</f>
        <v>0</v>
      </c>
      <c r="T386">
        <f>'Metric Details'!C386</f>
        <v>0</v>
      </c>
      <c r="U386">
        <f>IF('Metric Details'!F386=$H$1,0,IF('Metric Details'!F386=$H$2,1,2))</f>
        <v>2</v>
      </c>
      <c r="V386">
        <f>LEN('Metric Details'!H386)</f>
        <v>0</v>
      </c>
      <c r="W386">
        <f t="shared" si="17"/>
        <v>2</v>
      </c>
      <c r="X386">
        <f t="shared" ca="1" si="18"/>
        <v>82</v>
      </c>
    </row>
    <row r="387" spans="18:24">
      <c r="R387">
        <f t="shared" ref="R387:R450" ca="1" si="19">IF(INDEX(W:W,X387)&gt;0,1,0)</f>
        <v>1</v>
      </c>
      <c r="S387">
        <f>Metrics!B387</f>
        <v>0</v>
      </c>
      <c r="T387">
        <f>'Metric Details'!C387</f>
        <v>0</v>
      </c>
      <c r="U387">
        <f>IF('Metric Details'!F387=$H$1,0,IF('Metric Details'!F387=$H$2,1,2))</f>
        <v>2</v>
      </c>
      <c r="V387">
        <f>LEN('Metric Details'!H387)</f>
        <v>0</v>
      </c>
      <c r="W387">
        <f t="shared" ref="W387:W450" si="20">IF(V387&gt;0,2,U387)</f>
        <v>2</v>
      </c>
      <c r="X387">
        <f t="shared" ca="1" si="18"/>
        <v>82</v>
      </c>
    </row>
    <row r="388" spans="18:24">
      <c r="R388">
        <f t="shared" ca="1" si="19"/>
        <v>1</v>
      </c>
      <c r="S388">
        <f>Metrics!B388</f>
        <v>0</v>
      </c>
      <c r="T388">
        <f>'Metric Details'!C388</f>
        <v>0</v>
      </c>
      <c r="U388">
        <f>IF('Metric Details'!F388=$H$1,0,IF('Metric Details'!F388=$H$2,1,2))</f>
        <v>2</v>
      </c>
      <c r="V388">
        <f>LEN('Metric Details'!H388)</f>
        <v>0</v>
      </c>
      <c r="W388">
        <f t="shared" si="20"/>
        <v>2</v>
      </c>
      <c r="X388">
        <f t="shared" ca="1" si="18"/>
        <v>82</v>
      </c>
    </row>
    <row r="389" spans="18:24">
      <c r="R389">
        <f t="shared" ca="1" si="19"/>
        <v>1</v>
      </c>
      <c r="S389">
        <f>Metrics!B389</f>
        <v>0</v>
      </c>
      <c r="T389">
        <f>'Metric Details'!C389</f>
        <v>0</v>
      </c>
      <c r="U389">
        <f>IF('Metric Details'!F389=$H$1,0,IF('Metric Details'!F389=$H$2,1,2))</f>
        <v>2</v>
      </c>
      <c r="V389">
        <f>LEN('Metric Details'!H389)</f>
        <v>0</v>
      </c>
      <c r="W389">
        <f t="shared" si="20"/>
        <v>2</v>
      </c>
      <c r="X389">
        <f t="shared" ca="1" si="18"/>
        <v>82</v>
      </c>
    </row>
    <row r="390" spans="18:24">
      <c r="R390">
        <f t="shared" ca="1" si="19"/>
        <v>1</v>
      </c>
      <c r="S390">
        <f>Metrics!B390</f>
        <v>0</v>
      </c>
      <c r="T390">
        <f>'Metric Details'!C390</f>
        <v>0</v>
      </c>
      <c r="U390">
        <f>IF('Metric Details'!F390=$H$1,0,IF('Metric Details'!F390=$H$2,1,2))</f>
        <v>2</v>
      </c>
      <c r="V390">
        <f>LEN('Metric Details'!H390)</f>
        <v>0</v>
      </c>
      <c r="W390">
        <f t="shared" si="20"/>
        <v>2</v>
      </c>
      <c r="X390">
        <f t="shared" ref="X390:X453" ca="1" si="21">ROW(INDIRECT(ADDRESS(MATCH(S390,T:T,0),COLUMN(T390),1)))</f>
        <v>82</v>
      </c>
    </row>
    <row r="391" spans="18:24">
      <c r="R391">
        <f t="shared" ca="1" si="19"/>
        <v>1</v>
      </c>
      <c r="S391">
        <f>Metrics!B391</f>
        <v>0</v>
      </c>
      <c r="T391">
        <f>'Metric Details'!C391</f>
        <v>0</v>
      </c>
      <c r="U391">
        <f>IF('Metric Details'!F391=$H$1,0,IF('Metric Details'!F391=$H$2,1,2))</f>
        <v>2</v>
      </c>
      <c r="V391">
        <f>LEN('Metric Details'!H391)</f>
        <v>0</v>
      </c>
      <c r="W391">
        <f t="shared" si="20"/>
        <v>2</v>
      </c>
      <c r="X391">
        <f t="shared" ca="1" si="21"/>
        <v>82</v>
      </c>
    </row>
    <row r="392" spans="18:24">
      <c r="R392">
        <f t="shared" ca="1" si="19"/>
        <v>1</v>
      </c>
      <c r="S392">
        <f>Metrics!B392</f>
        <v>0</v>
      </c>
      <c r="T392">
        <f>'Metric Details'!C392</f>
        <v>0</v>
      </c>
      <c r="U392">
        <f>IF('Metric Details'!F392=$H$1,0,IF('Metric Details'!F392=$H$2,1,2))</f>
        <v>2</v>
      </c>
      <c r="V392">
        <f>LEN('Metric Details'!H392)</f>
        <v>0</v>
      </c>
      <c r="W392">
        <f t="shared" si="20"/>
        <v>2</v>
      </c>
      <c r="X392">
        <f t="shared" ca="1" si="21"/>
        <v>82</v>
      </c>
    </row>
    <row r="393" spans="18:24">
      <c r="R393">
        <f t="shared" ca="1" si="19"/>
        <v>1</v>
      </c>
      <c r="S393">
        <f>Metrics!B393</f>
        <v>0</v>
      </c>
      <c r="T393">
        <f>'Metric Details'!C393</f>
        <v>0</v>
      </c>
      <c r="U393">
        <f>IF('Metric Details'!F393=$H$1,0,IF('Metric Details'!F393=$H$2,1,2))</f>
        <v>2</v>
      </c>
      <c r="V393">
        <f>LEN('Metric Details'!H393)</f>
        <v>0</v>
      </c>
      <c r="W393">
        <f t="shared" si="20"/>
        <v>2</v>
      </c>
      <c r="X393">
        <f t="shared" ca="1" si="21"/>
        <v>82</v>
      </c>
    </row>
    <row r="394" spans="18:24">
      <c r="R394">
        <f t="shared" ca="1" si="19"/>
        <v>1</v>
      </c>
      <c r="S394">
        <f>Metrics!B394</f>
        <v>0</v>
      </c>
      <c r="T394">
        <f>'Metric Details'!C394</f>
        <v>0</v>
      </c>
      <c r="U394">
        <f>IF('Metric Details'!F394=$H$1,0,IF('Metric Details'!F394=$H$2,1,2))</f>
        <v>2</v>
      </c>
      <c r="V394">
        <f>LEN('Metric Details'!H394)</f>
        <v>0</v>
      </c>
      <c r="W394">
        <f t="shared" si="20"/>
        <v>2</v>
      </c>
      <c r="X394">
        <f t="shared" ca="1" si="21"/>
        <v>82</v>
      </c>
    </row>
    <row r="395" spans="18:24">
      <c r="R395">
        <f t="shared" ca="1" si="19"/>
        <v>1</v>
      </c>
      <c r="S395">
        <f>Metrics!B395</f>
        <v>0</v>
      </c>
      <c r="T395">
        <f>'Metric Details'!C395</f>
        <v>0</v>
      </c>
      <c r="U395">
        <f>IF('Metric Details'!F395=$H$1,0,IF('Metric Details'!F395=$H$2,1,2))</f>
        <v>2</v>
      </c>
      <c r="V395">
        <f>LEN('Metric Details'!H395)</f>
        <v>0</v>
      </c>
      <c r="W395">
        <f t="shared" si="20"/>
        <v>2</v>
      </c>
      <c r="X395">
        <f t="shared" ca="1" si="21"/>
        <v>82</v>
      </c>
    </row>
    <row r="396" spans="18:24">
      <c r="R396">
        <f t="shared" ca="1" si="19"/>
        <v>1</v>
      </c>
      <c r="S396">
        <f>Metrics!B396</f>
        <v>0</v>
      </c>
      <c r="T396">
        <f>'Metric Details'!C396</f>
        <v>0</v>
      </c>
      <c r="U396">
        <f>IF('Metric Details'!F396=$H$1,0,IF('Metric Details'!F396=$H$2,1,2))</f>
        <v>2</v>
      </c>
      <c r="V396">
        <f>LEN('Metric Details'!H396)</f>
        <v>0</v>
      </c>
      <c r="W396">
        <f t="shared" si="20"/>
        <v>2</v>
      </c>
      <c r="X396">
        <f t="shared" ca="1" si="21"/>
        <v>82</v>
      </c>
    </row>
    <row r="397" spans="18:24">
      <c r="R397">
        <f t="shared" ca="1" si="19"/>
        <v>1</v>
      </c>
      <c r="S397">
        <f>Metrics!B397</f>
        <v>0</v>
      </c>
      <c r="T397">
        <f>'Metric Details'!C397</f>
        <v>0</v>
      </c>
      <c r="U397">
        <f>IF('Metric Details'!F397=$H$1,0,IF('Metric Details'!F397=$H$2,1,2))</f>
        <v>2</v>
      </c>
      <c r="V397">
        <f>LEN('Metric Details'!H397)</f>
        <v>0</v>
      </c>
      <c r="W397">
        <f t="shared" si="20"/>
        <v>2</v>
      </c>
      <c r="X397">
        <f t="shared" ca="1" si="21"/>
        <v>82</v>
      </c>
    </row>
    <row r="398" spans="18:24">
      <c r="R398">
        <f t="shared" ca="1" si="19"/>
        <v>1</v>
      </c>
      <c r="S398">
        <f>Metrics!B398</f>
        <v>0</v>
      </c>
      <c r="T398">
        <f>'Metric Details'!C398</f>
        <v>0</v>
      </c>
      <c r="U398">
        <f>IF('Metric Details'!F398=$H$1,0,IF('Metric Details'!F398=$H$2,1,2))</f>
        <v>2</v>
      </c>
      <c r="V398">
        <f>LEN('Metric Details'!H398)</f>
        <v>0</v>
      </c>
      <c r="W398">
        <f t="shared" si="20"/>
        <v>2</v>
      </c>
      <c r="X398">
        <f t="shared" ca="1" si="21"/>
        <v>82</v>
      </c>
    </row>
    <row r="399" spans="18:24">
      <c r="R399">
        <f t="shared" ca="1" si="19"/>
        <v>1</v>
      </c>
      <c r="S399">
        <f>Metrics!B399</f>
        <v>0</v>
      </c>
      <c r="T399">
        <f>'Metric Details'!C399</f>
        <v>0</v>
      </c>
      <c r="U399">
        <f>IF('Metric Details'!F399=$H$1,0,IF('Metric Details'!F399=$H$2,1,2))</f>
        <v>2</v>
      </c>
      <c r="V399">
        <f>LEN('Metric Details'!H399)</f>
        <v>0</v>
      </c>
      <c r="W399">
        <f t="shared" si="20"/>
        <v>2</v>
      </c>
      <c r="X399">
        <f t="shared" ca="1" si="21"/>
        <v>82</v>
      </c>
    </row>
    <row r="400" spans="18:24">
      <c r="R400">
        <f t="shared" ca="1" si="19"/>
        <v>1</v>
      </c>
      <c r="S400">
        <f>Metrics!B400</f>
        <v>0</v>
      </c>
      <c r="T400">
        <f>'Metric Details'!C400</f>
        <v>0</v>
      </c>
      <c r="U400">
        <f>IF('Metric Details'!F400=$H$1,0,IF('Metric Details'!F400=$H$2,1,2))</f>
        <v>2</v>
      </c>
      <c r="V400">
        <f>LEN('Metric Details'!H400)</f>
        <v>0</v>
      </c>
      <c r="W400">
        <f t="shared" si="20"/>
        <v>2</v>
      </c>
      <c r="X400">
        <f t="shared" ca="1" si="21"/>
        <v>82</v>
      </c>
    </row>
    <row r="401" spans="18:24">
      <c r="R401">
        <f t="shared" ca="1" si="19"/>
        <v>1</v>
      </c>
      <c r="S401">
        <f>Metrics!B401</f>
        <v>0</v>
      </c>
      <c r="T401">
        <f>'Metric Details'!C401</f>
        <v>0</v>
      </c>
      <c r="U401">
        <f>IF('Metric Details'!F401=$H$1,0,IF('Metric Details'!F401=$H$2,1,2))</f>
        <v>2</v>
      </c>
      <c r="V401">
        <f>LEN('Metric Details'!H401)</f>
        <v>0</v>
      </c>
      <c r="W401">
        <f t="shared" si="20"/>
        <v>2</v>
      </c>
      <c r="X401">
        <f t="shared" ca="1" si="21"/>
        <v>82</v>
      </c>
    </row>
    <row r="402" spans="18:24">
      <c r="R402">
        <f t="shared" ca="1" si="19"/>
        <v>1</v>
      </c>
      <c r="S402">
        <f>Metrics!B402</f>
        <v>0</v>
      </c>
      <c r="T402">
        <f>'Metric Details'!C402</f>
        <v>0</v>
      </c>
      <c r="U402">
        <f>IF('Metric Details'!F402=$H$1,0,IF('Metric Details'!F402=$H$2,1,2))</f>
        <v>2</v>
      </c>
      <c r="V402">
        <f>LEN('Metric Details'!H402)</f>
        <v>0</v>
      </c>
      <c r="W402">
        <f t="shared" si="20"/>
        <v>2</v>
      </c>
      <c r="X402">
        <f t="shared" ca="1" si="21"/>
        <v>82</v>
      </c>
    </row>
    <row r="403" spans="18:24">
      <c r="R403">
        <f t="shared" ca="1" si="19"/>
        <v>1</v>
      </c>
      <c r="S403">
        <f>Metrics!B403</f>
        <v>0</v>
      </c>
      <c r="T403">
        <f>'Metric Details'!C403</f>
        <v>0</v>
      </c>
      <c r="U403">
        <f>IF('Metric Details'!F403=$H$1,0,IF('Metric Details'!F403=$H$2,1,2))</f>
        <v>2</v>
      </c>
      <c r="V403">
        <f>LEN('Metric Details'!H403)</f>
        <v>0</v>
      </c>
      <c r="W403">
        <f t="shared" si="20"/>
        <v>2</v>
      </c>
      <c r="X403">
        <f t="shared" ca="1" si="21"/>
        <v>82</v>
      </c>
    </row>
    <row r="404" spans="18:24">
      <c r="R404">
        <f t="shared" ca="1" si="19"/>
        <v>1</v>
      </c>
      <c r="S404">
        <f>Metrics!B404</f>
        <v>0</v>
      </c>
      <c r="T404">
        <f>'Metric Details'!C404</f>
        <v>0</v>
      </c>
      <c r="U404">
        <f>IF('Metric Details'!F404=$H$1,0,IF('Metric Details'!F404=$H$2,1,2))</f>
        <v>2</v>
      </c>
      <c r="V404">
        <f>LEN('Metric Details'!H404)</f>
        <v>0</v>
      </c>
      <c r="W404">
        <f t="shared" si="20"/>
        <v>2</v>
      </c>
      <c r="X404">
        <f t="shared" ca="1" si="21"/>
        <v>82</v>
      </c>
    </row>
    <row r="405" spans="18:24">
      <c r="R405">
        <f t="shared" ca="1" si="19"/>
        <v>1</v>
      </c>
      <c r="S405">
        <f>Metrics!B405</f>
        <v>0</v>
      </c>
      <c r="T405">
        <f>'Metric Details'!C405</f>
        <v>0</v>
      </c>
      <c r="U405">
        <f>IF('Metric Details'!F405=$H$1,0,IF('Metric Details'!F405=$H$2,1,2))</f>
        <v>2</v>
      </c>
      <c r="V405">
        <f>LEN('Metric Details'!H405)</f>
        <v>0</v>
      </c>
      <c r="W405">
        <f t="shared" si="20"/>
        <v>2</v>
      </c>
      <c r="X405">
        <f t="shared" ca="1" si="21"/>
        <v>82</v>
      </c>
    </row>
    <row r="406" spans="18:24">
      <c r="R406">
        <f t="shared" ca="1" si="19"/>
        <v>1</v>
      </c>
      <c r="S406">
        <f>Metrics!B406</f>
        <v>0</v>
      </c>
      <c r="T406">
        <f>'Metric Details'!C406</f>
        <v>0</v>
      </c>
      <c r="U406">
        <f>IF('Metric Details'!F406=$H$1,0,IF('Metric Details'!F406=$H$2,1,2))</f>
        <v>2</v>
      </c>
      <c r="V406">
        <f>LEN('Metric Details'!H406)</f>
        <v>0</v>
      </c>
      <c r="W406">
        <f t="shared" si="20"/>
        <v>2</v>
      </c>
      <c r="X406">
        <f t="shared" ca="1" si="21"/>
        <v>82</v>
      </c>
    </row>
    <row r="407" spans="18:24">
      <c r="R407">
        <f t="shared" ca="1" si="19"/>
        <v>1</v>
      </c>
      <c r="S407">
        <f>Metrics!B407</f>
        <v>0</v>
      </c>
      <c r="T407">
        <f>'Metric Details'!C407</f>
        <v>0</v>
      </c>
      <c r="U407">
        <f>IF('Metric Details'!F407=$H$1,0,IF('Metric Details'!F407=$H$2,1,2))</f>
        <v>2</v>
      </c>
      <c r="V407">
        <f>LEN('Metric Details'!H407)</f>
        <v>0</v>
      </c>
      <c r="W407">
        <f t="shared" si="20"/>
        <v>2</v>
      </c>
      <c r="X407">
        <f t="shared" ca="1" si="21"/>
        <v>82</v>
      </c>
    </row>
    <row r="408" spans="18:24">
      <c r="R408">
        <f t="shared" ca="1" si="19"/>
        <v>1</v>
      </c>
      <c r="S408">
        <f>Metrics!B408</f>
        <v>0</v>
      </c>
      <c r="T408">
        <f>'Metric Details'!C408</f>
        <v>0</v>
      </c>
      <c r="U408">
        <f>IF('Metric Details'!F408=$H$1,0,IF('Metric Details'!F408=$H$2,1,2))</f>
        <v>2</v>
      </c>
      <c r="V408">
        <f>LEN('Metric Details'!H408)</f>
        <v>0</v>
      </c>
      <c r="W408">
        <f t="shared" si="20"/>
        <v>2</v>
      </c>
      <c r="X408">
        <f t="shared" ca="1" si="21"/>
        <v>82</v>
      </c>
    </row>
    <row r="409" spans="18:24">
      <c r="R409">
        <f t="shared" ca="1" si="19"/>
        <v>1</v>
      </c>
      <c r="S409">
        <f>Metrics!B409</f>
        <v>0</v>
      </c>
      <c r="T409">
        <f>'Metric Details'!C409</f>
        <v>0</v>
      </c>
      <c r="U409">
        <f>IF('Metric Details'!F409=$H$1,0,IF('Metric Details'!F409=$H$2,1,2))</f>
        <v>2</v>
      </c>
      <c r="V409">
        <f>LEN('Metric Details'!H409)</f>
        <v>0</v>
      </c>
      <c r="W409">
        <f t="shared" si="20"/>
        <v>2</v>
      </c>
      <c r="X409">
        <f t="shared" ca="1" si="21"/>
        <v>82</v>
      </c>
    </row>
    <row r="410" spans="18:24">
      <c r="R410">
        <f t="shared" ca="1" si="19"/>
        <v>1</v>
      </c>
      <c r="S410">
        <f>Metrics!B410</f>
        <v>0</v>
      </c>
      <c r="T410">
        <f>'Metric Details'!C410</f>
        <v>0</v>
      </c>
      <c r="U410">
        <f>IF('Metric Details'!F410=$H$1,0,IF('Metric Details'!F410=$H$2,1,2))</f>
        <v>2</v>
      </c>
      <c r="V410">
        <f>LEN('Metric Details'!H410)</f>
        <v>0</v>
      </c>
      <c r="W410">
        <f t="shared" si="20"/>
        <v>2</v>
      </c>
      <c r="X410">
        <f t="shared" ca="1" si="21"/>
        <v>82</v>
      </c>
    </row>
    <row r="411" spans="18:24">
      <c r="R411">
        <f t="shared" ca="1" si="19"/>
        <v>1</v>
      </c>
      <c r="S411">
        <f>Metrics!B411</f>
        <v>0</v>
      </c>
      <c r="T411">
        <f>'Metric Details'!C411</f>
        <v>0</v>
      </c>
      <c r="U411">
        <f>IF('Metric Details'!F411=$H$1,0,IF('Metric Details'!F411=$H$2,1,2))</f>
        <v>2</v>
      </c>
      <c r="V411">
        <f>LEN('Metric Details'!H411)</f>
        <v>0</v>
      </c>
      <c r="W411">
        <f t="shared" si="20"/>
        <v>2</v>
      </c>
      <c r="X411">
        <f t="shared" ca="1" si="21"/>
        <v>82</v>
      </c>
    </row>
    <row r="412" spans="18:24">
      <c r="R412">
        <f t="shared" ca="1" si="19"/>
        <v>1</v>
      </c>
      <c r="S412">
        <f>Metrics!B412</f>
        <v>0</v>
      </c>
      <c r="T412">
        <f>'Metric Details'!C412</f>
        <v>0</v>
      </c>
      <c r="U412">
        <f>IF('Metric Details'!F412=$H$1,0,IF('Metric Details'!F412=$H$2,1,2))</f>
        <v>2</v>
      </c>
      <c r="V412">
        <f>LEN('Metric Details'!H412)</f>
        <v>0</v>
      </c>
      <c r="W412">
        <f t="shared" si="20"/>
        <v>2</v>
      </c>
      <c r="X412">
        <f t="shared" ca="1" si="21"/>
        <v>82</v>
      </c>
    </row>
    <row r="413" spans="18:24">
      <c r="R413">
        <f t="shared" ca="1" si="19"/>
        <v>1</v>
      </c>
      <c r="S413">
        <f>Metrics!B413</f>
        <v>0</v>
      </c>
      <c r="T413">
        <f>'Metric Details'!C413</f>
        <v>0</v>
      </c>
      <c r="U413">
        <f>IF('Metric Details'!F413=$H$1,0,IF('Metric Details'!F413=$H$2,1,2))</f>
        <v>2</v>
      </c>
      <c r="V413">
        <f>LEN('Metric Details'!H413)</f>
        <v>0</v>
      </c>
      <c r="W413">
        <f t="shared" si="20"/>
        <v>2</v>
      </c>
      <c r="X413">
        <f t="shared" ca="1" si="21"/>
        <v>82</v>
      </c>
    </row>
    <row r="414" spans="18:24">
      <c r="R414">
        <f t="shared" ca="1" si="19"/>
        <v>1</v>
      </c>
      <c r="S414">
        <f>Metrics!B414</f>
        <v>0</v>
      </c>
      <c r="T414">
        <f>'Metric Details'!C414</f>
        <v>0</v>
      </c>
      <c r="U414">
        <f>IF('Metric Details'!F414=$H$1,0,IF('Metric Details'!F414=$H$2,1,2))</f>
        <v>2</v>
      </c>
      <c r="V414">
        <f>LEN('Metric Details'!H414)</f>
        <v>0</v>
      </c>
      <c r="W414">
        <f t="shared" si="20"/>
        <v>2</v>
      </c>
      <c r="X414">
        <f t="shared" ca="1" si="21"/>
        <v>82</v>
      </c>
    </row>
    <row r="415" spans="18:24">
      <c r="R415">
        <f t="shared" ca="1" si="19"/>
        <v>1</v>
      </c>
      <c r="S415">
        <f>Metrics!B415</f>
        <v>0</v>
      </c>
      <c r="T415">
        <f>'Metric Details'!C415</f>
        <v>0</v>
      </c>
      <c r="U415">
        <f>IF('Metric Details'!F415=$H$1,0,IF('Metric Details'!F415=$H$2,1,2))</f>
        <v>2</v>
      </c>
      <c r="V415">
        <f>LEN('Metric Details'!H415)</f>
        <v>0</v>
      </c>
      <c r="W415">
        <f t="shared" si="20"/>
        <v>2</v>
      </c>
      <c r="X415">
        <f t="shared" ca="1" si="21"/>
        <v>82</v>
      </c>
    </row>
    <row r="416" spans="18:24">
      <c r="R416">
        <f t="shared" ca="1" si="19"/>
        <v>1</v>
      </c>
      <c r="S416">
        <f>Metrics!B416</f>
        <v>0</v>
      </c>
      <c r="T416">
        <f>'Metric Details'!C416</f>
        <v>0</v>
      </c>
      <c r="U416">
        <f>IF('Metric Details'!F416=$H$1,0,IF('Metric Details'!F416=$H$2,1,2))</f>
        <v>2</v>
      </c>
      <c r="V416">
        <f>LEN('Metric Details'!H416)</f>
        <v>0</v>
      </c>
      <c r="W416">
        <f t="shared" si="20"/>
        <v>2</v>
      </c>
      <c r="X416">
        <f t="shared" ca="1" si="21"/>
        <v>82</v>
      </c>
    </row>
    <row r="417" spans="18:24">
      <c r="R417">
        <f t="shared" ca="1" si="19"/>
        <v>1</v>
      </c>
      <c r="S417">
        <f>Metrics!B417</f>
        <v>0</v>
      </c>
      <c r="T417">
        <f>'Metric Details'!C417</f>
        <v>0</v>
      </c>
      <c r="U417">
        <f>IF('Metric Details'!F417=$H$1,0,IF('Metric Details'!F417=$H$2,1,2))</f>
        <v>2</v>
      </c>
      <c r="V417">
        <f>LEN('Metric Details'!H417)</f>
        <v>0</v>
      </c>
      <c r="W417">
        <f t="shared" si="20"/>
        <v>2</v>
      </c>
      <c r="X417">
        <f t="shared" ca="1" si="21"/>
        <v>82</v>
      </c>
    </row>
    <row r="418" spans="18:24">
      <c r="R418">
        <f t="shared" ca="1" si="19"/>
        <v>1</v>
      </c>
      <c r="S418">
        <f>Metrics!B418</f>
        <v>0</v>
      </c>
      <c r="T418">
        <f>'Metric Details'!C418</f>
        <v>0</v>
      </c>
      <c r="U418">
        <f>IF('Metric Details'!F418=$H$1,0,IF('Metric Details'!F418=$H$2,1,2))</f>
        <v>2</v>
      </c>
      <c r="V418">
        <f>LEN('Metric Details'!H418)</f>
        <v>0</v>
      </c>
      <c r="W418">
        <f t="shared" si="20"/>
        <v>2</v>
      </c>
      <c r="X418">
        <f t="shared" ca="1" si="21"/>
        <v>82</v>
      </c>
    </row>
    <row r="419" spans="18:24">
      <c r="R419">
        <f t="shared" ca="1" si="19"/>
        <v>1</v>
      </c>
      <c r="S419">
        <f>Metrics!B419</f>
        <v>0</v>
      </c>
      <c r="T419">
        <f>'Metric Details'!C419</f>
        <v>0</v>
      </c>
      <c r="U419">
        <f>IF('Metric Details'!F419=$H$1,0,IF('Metric Details'!F419=$H$2,1,2))</f>
        <v>2</v>
      </c>
      <c r="V419">
        <f>LEN('Metric Details'!H419)</f>
        <v>0</v>
      </c>
      <c r="W419">
        <f t="shared" si="20"/>
        <v>2</v>
      </c>
      <c r="X419">
        <f t="shared" ca="1" si="21"/>
        <v>82</v>
      </c>
    </row>
    <row r="420" spans="18:24">
      <c r="R420">
        <f t="shared" ca="1" si="19"/>
        <v>1</v>
      </c>
      <c r="S420">
        <f>Metrics!B420</f>
        <v>0</v>
      </c>
      <c r="T420">
        <f>'Metric Details'!C420</f>
        <v>0</v>
      </c>
      <c r="U420">
        <f>IF('Metric Details'!F420=$H$1,0,IF('Metric Details'!F420=$H$2,1,2))</f>
        <v>2</v>
      </c>
      <c r="V420">
        <f>LEN('Metric Details'!H420)</f>
        <v>0</v>
      </c>
      <c r="W420">
        <f t="shared" si="20"/>
        <v>2</v>
      </c>
      <c r="X420">
        <f t="shared" ca="1" si="21"/>
        <v>82</v>
      </c>
    </row>
    <row r="421" spans="18:24">
      <c r="R421">
        <f t="shared" ca="1" si="19"/>
        <v>1</v>
      </c>
      <c r="S421">
        <f>Metrics!B421</f>
        <v>0</v>
      </c>
      <c r="T421">
        <f>'Metric Details'!C421</f>
        <v>0</v>
      </c>
      <c r="U421">
        <f>IF('Metric Details'!F421=$H$1,0,IF('Metric Details'!F421=$H$2,1,2))</f>
        <v>2</v>
      </c>
      <c r="V421">
        <f>LEN('Metric Details'!H421)</f>
        <v>0</v>
      </c>
      <c r="W421">
        <f t="shared" si="20"/>
        <v>2</v>
      </c>
      <c r="X421">
        <f t="shared" ca="1" si="21"/>
        <v>82</v>
      </c>
    </row>
    <row r="422" spans="18:24">
      <c r="R422">
        <f t="shared" ca="1" si="19"/>
        <v>1</v>
      </c>
      <c r="S422">
        <f>Metrics!B422</f>
        <v>0</v>
      </c>
      <c r="T422">
        <f>'Metric Details'!C422</f>
        <v>0</v>
      </c>
      <c r="U422">
        <f>IF('Metric Details'!F422=$H$1,0,IF('Metric Details'!F422=$H$2,1,2))</f>
        <v>2</v>
      </c>
      <c r="V422">
        <f>LEN('Metric Details'!H422)</f>
        <v>0</v>
      </c>
      <c r="W422">
        <f t="shared" si="20"/>
        <v>2</v>
      </c>
      <c r="X422">
        <f t="shared" ca="1" si="21"/>
        <v>82</v>
      </c>
    </row>
    <row r="423" spans="18:24">
      <c r="R423">
        <f t="shared" ca="1" si="19"/>
        <v>1</v>
      </c>
      <c r="S423">
        <f>Metrics!B423</f>
        <v>0</v>
      </c>
      <c r="T423">
        <f>'Metric Details'!C423</f>
        <v>0</v>
      </c>
      <c r="U423">
        <f>IF('Metric Details'!F423=$H$1,0,IF('Metric Details'!F423=$H$2,1,2))</f>
        <v>2</v>
      </c>
      <c r="V423">
        <f>LEN('Metric Details'!H423)</f>
        <v>0</v>
      </c>
      <c r="W423">
        <f t="shared" si="20"/>
        <v>2</v>
      </c>
      <c r="X423">
        <f t="shared" ca="1" si="21"/>
        <v>82</v>
      </c>
    </row>
    <row r="424" spans="18:24">
      <c r="R424">
        <f t="shared" ca="1" si="19"/>
        <v>1</v>
      </c>
      <c r="S424">
        <f>Metrics!B424</f>
        <v>0</v>
      </c>
      <c r="T424">
        <f>'Metric Details'!C424</f>
        <v>0</v>
      </c>
      <c r="U424">
        <f>IF('Metric Details'!F424=$H$1,0,IF('Metric Details'!F424=$H$2,1,2))</f>
        <v>2</v>
      </c>
      <c r="V424">
        <f>LEN('Metric Details'!H424)</f>
        <v>0</v>
      </c>
      <c r="W424">
        <f t="shared" si="20"/>
        <v>2</v>
      </c>
      <c r="X424">
        <f t="shared" ca="1" si="21"/>
        <v>82</v>
      </c>
    </row>
    <row r="425" spans="18:24">
      <c r="R425">
        <f t="shared" ca="1" si="19"/>
        <v>1</v>
      </c>
      <c r="S425">
        <f>Metrics!B425</f>
        <v>0</v>
      </c>
      <c r="T425">
        <f>'Metric Details'!C425</f>
        <v>0</v>
      </c>
      <c r="U425">
        <f>IF('Metric Details'!F425=$H$1,0,IF('Metric Details'!F425=$H$2,1,2))</f>
        <v>2</v>
      </c>
      <c r="V425">
        <f>LEN('Metric Details'!H425)</f>
        <v>0</v>
      </c>
      <c r="W425">
        <f t="shared" si="20"/>
        <v>2</v>
      </c>
      <c r="X425">
        <f t="shared" ca="1" si="21"/>
        <v>82</v>
      </c>
    </row>
    <row r="426" spans="18:24">
      <c r="R426">
        <f t="shared" ca="1" si="19"/>
        <v>1</v>
      </c>
      <c r="S426">
        <f>Metrics!B426</f>
        <v>0</v>
      </c>
      <c r="T426">
        <f>'Metric Details'!C426</f>
        <v>0</v>
      </c>
      <c r="U426">
        <f>IF('Metric Details'!F426=$H$1,0,IF('Metric Details'!F426=$H$2,1,2))</f>
        <v>2</v>
      </c>
      <c r="V426">
        <f>LEN('Metric Details'!H426)</f>
        <v>0</v>
      </c>
      <c r="W426">
        <f t="shared" si="20"/>
        <v>2</v>
      </c>
      <c r="X426">
        <f t="shared" ca="1" si="21"/>
        <v>82</v>
      </c>
    </row>
    <row r="427" spans="18:24">
      <c r="R427">
        <f t="shared" ca="1" si="19"/>
        <v>1</v>
      </c>
      <c r="S427">
        <f>Metrics!B427</f>
        <v>0</v>
      </c>
      <c r="T427">
        <f>'Metric Details'!C427</f>
        <v>0</v>
      </c>
      <c r="U427">
        <f>IF('Metric Details'!F427=$H$1,0,IF('Metric Details'!F427=$H$2,1,2))</f>
        <v>2</v>
      </c>
      <c r="V427">
        <f>LEN('Metric Details'!H427)</f>
        <v>0</v>
      </c>
      <c r="W427">
        <f t="shared" si="20"/>
        <v>2</v>
      </c>
      <c r="X427">
        <f t="shared" ca="1" si="21"/>
        <v>82</v>
      </c>
    </row>
    <row r="428" spans="18:24">
      <c r="R428">
        <f t="shared" ca="1" si="19"/>
        <v>1</v>
      </c>
      <c r="S428">
        <f>Metrics!B428</f>
        <v>0</v>
      </c>
      <c r="T428">
        <f>'Metric Details'!C428</f>
        <v>0</v>
      </c>
      <c r="U428">
        <f>IF('Metric Details'!F428=$H$1,0,IF('Metric Details'!F428=$H$2,1,2))</f>
        <v>2</v>
      </c>
      <c r="V428">
        <f>LEN('Metric Details'!H428)</f>
        <v>0</v>
      </c>
      <c r="W428">
        <f t="shared" si="20"/>
        <v>2</v>
      </c>
      <c r="X428">
        <f t="shared" ca="1" si="21"/>
        <v>82</v>
      </c>
    </row>
    <row r="429" spans="18:24">
      <c r="R429">
        <f t="shared" ca="1" si="19"/>
        <v>1</v>
      </c>
      <c r="S429">
        <f>Metrics!B429</f>
        <v>0</v>
      </c>
      <c r="T429">
        <f>'Metric Details'!C429</f>
        <v>0</v>
      </c>
      <c r="U429">
        <f>IF('Metric Details'!F429=$H$1,0,IF('Metric Details'!F429=$H$2,1,2))</f>
        <v>2</v>
      </c>
      <c r="V429">
        <f>LEN('Metric Details'!H429)</f>
        <v>0</v>
      </c>
      <c r="W429">
        <f t="shared" si="20"/>
        <v>2</v>
      </c>
      <c r="X429">
        <f t="shared" ca="1" si="21"/>
        <v>82</v>
      </c>
    </row>
    <row r="430" spans="18:24">
      <c r="R430">
        <f t="shared" ca="1" si="19"/>
        <v>1</v>
      </c>
      <c r="S430">
        <f>Metrics!B430</f>
        <v>0</v>
      </c>
      <c r="T430">
        <f>'Metric Details'!C430</f>
        <v>0</v>
      </c>
      <c r="U430">
        <f>IF('Metric Details'!F430=$H$1,0,IF('Metric Details'!F430=$H$2,1,2))</f>
        <v>2</v>
      </c>
      <c r="V430">
        <f>LEN('Metric Details'!H430)</f>
        <v>0</v>
      </c>
      <c r="W430">
        <f t="shared" si="20"/>
        <v>2</v>
      </c>
      <c r="X430">
        <f t="shared" ca="1" si="21"/>
        <v>82</v>
      </c>
    </row>
    <row r="431" spans="18:24">
      <c r="R431">
        <f t="shared" ca="1" si="19"/>
        <v>1</v>
      </c>
      <c r="S431">
        <f>Metrics!B431</f>
        <v>0</v>
      </c>
      <c r="T431">
        <f>'Metric Details'!C431</f>
        <v>0</v>
      </c>
      <c r="U431">
        <f>IF('Metric Details'!F431=$H$1,0,IF('Metric Details'!F431=$H$2,1,2))</f>
        <v>2</v>
      </c>
      <c r="V431">
        <f>LEN('Metric Details'!H431)</f>
        <v>0</v>
      </c>
      <c r="W431">
        <f t="shared" si="20"/>
        <v>2</v>
      </c>
      <c r="X431">
        <f t="shared" ca="1" si="21"/>
        <v>82</v>
      </c>
    </row>
    <row r="432" spans="18:24">
      <c r="R432">
        <f t="shared" ca="1" si="19"/>
        <v>1</v>
      </c>
      <c r="S432">
        <f>Metrics!B432</f>
        <v>0</v>
      </c>
      <c r="T432">
        <f>'Metric Details'!C432</f>
        <v>0</v>
      </c>
      <c r="U432">
        <f>IF('Metric Details'!F432=$H$1,0,IF('Metric Details'!F432=$H$2,1,2))</f>
        <v>2</v>
      </c>
      <c r="V432">
        <f>LEN('Metric Details'!H432)</f>
        <v>0</v>
      </c>
      <c r="W432">
        <f t="shared" si="20"/>
        <v>2</v>
      </c>
      <c r="X432">
        <f t="shared" ca="1" si="21"/>
        <v>82</v>
      </c>
    </row>
    <row r="433" spans="18:24">
      <c r="R433">
        <f t="shared" ca="1" si="19"/>
        <v>1</v>
      </c>
      <c r="S433">
        <f>Metrics!B433</f>
        <v>0</v>
      </c>
      <c r="T433">
        <f>'Metric Details'!C433</f>
        <v>0</v>
      </c>
      <c r="U433">
        <f>IF('Metric Details'!F433=$H$1,0,IF('Metric Details'!F433=$H$2,1,2))</f>
        <v>2</v>
      </c>
      <c r="V433">
        <f>LEN('Metric Details'!H433)</f>
        <v>0</v>
      </c>
      <c r="W433">
        <f t="shared" si="20"/>
        <v>2</v>
      </c>
      <c r="X433">
        <f t="shared" ca="1" si="21"/>
        <v>82</v>
      </c>
    </row>
    <row r="434" spans="18:24">
      <c r="R434">
        <f t="shared" ca="1" si="19"/>
        <v>1</v>
      </c>
      <c r="S434">
        <f>Metrics!B434</f>
        <v>0</v>
      </c>
      <c r="T434">
        <f>'Metric Details'!C434</f>
        <v>0</v>
      </c>
      <c r="U434">
        <f>IF('Metric Details'!F434=$H$1,0,IF('Metric Details'!F434=$H$2,1,2))</f>
        <v>2</v>
      </c>
      <c r="V434">
        <f>LEN('Metric Details'!H434)</f>
        <v>0</v>
      </c>
      <c r="W434">
        <f t="shared" si="20"/>
        <v>2</v>
      </c>
      <c r="X434">
        <f t="shared" ca="1" si="21"/>
        <v>82</v>
      </c>
    </row>
    <row r="435" spans="18:24">
      <c r="R435">
        <f t="shared" ca="1" si="19"/>
        <v>1</v>
      </c>
      <c r="S435">
        <f>Metrics!B435</f>
        <v>0</v>
      </c>
      <c r="T435">
        <f>'Metric Details'!C435</f>
        <v>0</v>
      </c>
      <c r="U435">
        <f>IF('Metric Details'!F435=$H$1,0,IF('Metric Details'!F435=$H$2,1,2))</f>
        <v>2</v>
      </c>
      <c r="V435">
        <f>LEN('Metric Details'!H435)</f>
        <v>0</v>
      </c>
      <c r="W435">
        <f t="shared" si="20"/>
        <v>2</v>
      </c>
      <c r="X435">
        <f t="shared" ca="1" si="21"/>
        <v>82</v>
      </c>
    </row>
    <row r="436" spans="18:24">
      <c r="R436">
        <f t="shared" ca="1" si="19"/>
        <v>1</v>
      </c>
      <c r="S436">
        <f>Metrics!B436</f>
        <v>0</v>
      </c>
      <c r="T436">
        <f>'Metric Details'!C436</f>
        <v>0</v>
      </c>
      <c r="U436">
        <f>IF('Metric Details'!F436=$H$1,0,IF('Metric Details'!F436=$H$2,1,2))</f>
        <v>2</v>
      </c>
      <c r="V436">
        <f>LEN('Metric Details'!H436)</f>
        <v>0</v>
      </c>
      <c r="W436">
        <f t="shared" si="20"/>
        <v>2</v>
      </c>
      <c r="X436">
        <f t="shared" ca="1" si="21"/>
        <v>82</v>
      </c>
    </row>
    <row r="437" spans="18:24">
      <c r="R437">
        <f t="shared" ca="1" si="19"/>
        <v>1</v>
      </c>
      <c r="S437">
        <f>Metrics!B437</f>
        <v>0</v>
      </c>
      <c r="T437">
        <f>'Metric Details'!C437</f>
        <v>0</v>
      </c>
      <c r="U437">
        <f>IF('Metric Details'!F437=$H$1,0,IF('Metric Details'!F437=$H$2,1,2))</f>
        <v>2</v>
      </c>
      <c r="V437">
        <f>LEN('Metric Details'!H437)</f>
        <v>0</v>
      </c>
      <c r="W437">
        <f t="shared" si="20"/>
        <v>2</v>
      </c>
      <c r="X437">
        <f t="shared" ca="1" si="21"/>
        <v>82</v>
      </c>
    </row>
    <row r="438" spans="18:24">
      <c r="R438">
        <f t="shared" ca="1" si="19"/>
        <v>1</v>
      </c>
      <c r="S438">
        <f>Metrics!B438</f>
        <v>0</v>
      </c>
      <c r="T438">
        <f>'Metric Details'!C438</f>
        <v>0</v>
      </c>
      <c r="U438">
        <f>IF('Metric Details'!F438=$H$1,0,IF('Metric Details'!F438=$H$2,1,2))</f>
        <v>2</v>
      </c>
      <c r="V438">
        <f>LEN('Metric Details'!H438)</f>
        <v>0</v>
      </c>
      <c r="W438">
        <f t="shared" si="20"/>
        <v>2</v>
      </c>
      <c r="X438">
        <f t="shared" ca="1" si="21"/>
        <v>82</v>
      </c>
    </row>
    <row r="439" spans="18:24">
      <c r="R439">
        <f t="shared" ca="1" si="19"/>
        <v>1</v>
      </c>
      <c r="S439">
        <f>Metrics!B439</f>
        <v>0</v>
      </c>
      <c r="T439">
        <f>'Metric Details'!C439</f>
        <v>0</v>
      </c>
      <c r="U439">
        <f>IF('Metric Details'!F439=$H$1,0,IF('Metric Details'!F439=$H$2,1,2))</f>
        <v>2</v>
      </c>
      <c r="V439">
        <f>LEN('Metric Details'!H439)</f>
        <v>0</v>
      </c>
      <c r="W439">
        <f t="shared" si="20"/>
        <v>2</v>
      </c>
      <c r="X439">
        <f t="shared" ca="1" si="21"/>
        <v>82</v>
      </c>
    </row>
    <row r="440" spans="18:24">
      <c r="R440">
        <f t="shared" ca="1" si="19"/>
        <v>1</v>
      </c>
      <c r="S440">
        <f>Metrics!B440</f>
        <v>0</v>
      </c>
      <c r="T440">
        <f>'Metric Details'!C440</f>
        <v>0</v>
      </c>
      <c r="U440">
        <f>IF('Metric Details'!F440=$H$1,0,IF('Metric Details'!F440=$H$2,1,2))</f>
        <v>2</v>
      </c>
      <c r="V440">
        <f>LEN('Metric Details'!H440)</f>
        <v>0</v>
      </c>
      <c r="W440">
        <f t="shared" si="20"/>
        <v>2</v>
      </c>
      <c r="X440">
        <f t="shared" ca="1" si="21"/>
        <v>82</v>
      </c>
    </row>
    <row r="441" spans="18:24">
      <c r="R441">
        <f t="shared" ca="1" si="19"/>
        <v>1</v>
      </c>
      <c r="S441">
        <f>Metrics!B441</f>
        <v>0</v>
      </c>
      <c r="T441">
        <f>'Metric Details'!C441</f>
        <v>0</v>
      </c>
      <c r="U441">
        <f>IF('Metric Details'!F441=$H$1,0,IF('Metric Details'!F441=$H$2,1,2))</f>
        <v>2</v>
      </c>
      <c r="V441">
        <f>LEN('Metric Details'!H441)</f>
        <v>0</v>
      </c>
      <c r="W441">
        <f t="shared" si="20"/>
        <v>2</v>
      </c>
      <c r="X441">
        <f t="shared" ca="1" si="21"/>
        <v>82</v>
      </c>
    </row>
    <row r="442" spans="18:24">
      <c r="R442">
        <f t="shared" ca="1" si="19"/>
        <v>1</v>
      </c>
      <c r="S442">
        <f>Metrics!B442</f>
        <v>0</v>
      </c>
      <c r="T442">
        <f>'Metric Details'!C442</f>
        <v>0</v>
      </c>
      <c r="U442">
        <f>IF('Metric Details'!F442=$H$1,0,IF('Metric Details'!F442=$H$2,1,2))</f>
        <v>2</v>
      </c>
      <c r="V442">
        <f>LEN('Metric Details'!H442)</f>
        <v>0</v>
      </c>
      <c r="W442">
        <f t="shared" si="20"/>
        <v>2</v>
      </c>
      <c r="X442">
        <f t="shared" ca="1" si="21"/>
        <v>82</v>
      </c>
    </row>
    <row r="443" spans="18:24">
      <c r="R443">
        <f t="shared" ca="1" si="19"/>
        <v>1</v>
      </c>
      <c r="S443">
        <f>Metrics!B443</f>
        <v>0</v>
      </c>
      <c r="T443">
        <f>'Metric Details'!C443</f>
        <v>0</v>
      </c>
      <c r="U443">
        <f>IF('Metric Details'!F443=$H$1,0,IF('Metric Details'!F443=$H$2,1,2))</f>
        <v>2</v>
      </c>
      <c r="V443">
        <f>LEN('Metric Details'!H443)</f>
        <v>0</v>
      </c>
      <c r="W443">
        <f t="shared" si="20"/>
        <v>2</v>
      </c>
      <c r="X443">
        <f t="shared" ca="1" si="21"/>
        <v>82</v>
      </c>
    </row>
    <row r="444" spans="18:24">
      <c r="R444">
        <f t="shared" ca="1" si="19"/>
        <v>1</v>
      </c>
      <c r="S444">
        <f>Metrics!B444</f>
        <v>0</v>
      </c>
      <c r="T444">
        <f>'Metric Details'!C444</f>
        <v>0</v>
      </c>
      <c r="U444">
        <f>IF('Metric Details'!F444=$H$1,0,IF('Metric Details'!F444=$H$2,1,2))</f>
        <v>2</v>
      </c>
      <c r="V444">
        <f>LEN('Metric Details'!H444)</f>
        <v>0</v>
      </c>
      <c r="W444">
        <f t="shared" si="20"/>
        <v>2</v>
      </c>
      <c r="X444">
        <f t="shared" ca="1" si="21"/>
        <v>82</v>
      </c>
    </row>
    <row r="445" spans="18:24">
      <c r="R445">
        <f t="shared" ca="1" si="19"/>
        <v>1</v>
      </c>
      <c r="S445">
        <f>Metrics!B445</f>
        <v>0</v>
      </c>
      <c r="T445">
        <f>'Metric Details'!C445</f>
        <v>0</v>
      </c>
      <c r="U445">
        <f>IF('Metric Details'!F445=$H$1,0,IF('Metric Details'!F445=$H$2,1,2))</f>
        <v>2</v>
      </c>
      <c r="V445">
        <f>LEN('Metric Details'!H445)</f>
        <v>0</v>
      </c>
      <c r="W445">
        <f t="shared" si="20"/>
        <v>2</v>
      </c>
      <c r="X445">
        <f t="shared" ca="1" si="21"/>
        <v>82</v>
      </c>
    </row>
    <row r="446" spans="18:24">
      <c r="R446">
        <f t="shared" ca="1" si="19"/>
        <v>1</v>
      </c>
      <c r="S446">
        <f>Metrics!B446</f>
        <v>0</v>
      </c>
      <c r="T446">
        <f>'Metric Details'!C446</f>
        <v>0</v>
      </c>
      <c r="U446">
        <f>IF('Metric Details'!F446=$H$1,0,IF('Metric Details'!F446=$H$2,1,2))</f>
        <v>2</v>
      </c>
      <c r="V446">
        <f>LEN('Metric Details'!H446)</f>
        <v>0</v>
      </c>
      <c r="W446">
        <f t="shared" si="20"/>
        <v>2</v>
      </c>
      <c r="X446">
        <f t="shared" ca="1" si="21"/>
        <v>82</v>
      </c>
    </row>
    <row r="447" spans="18:24">
      <c r="R447">
        <f t="shared" ca="1" si="19"/>
        <v>1</v>
      </c>
      <c r="S447">
        <f>Metrics!B447</f>
        <v>0</v>
      </c>
      <c r="T447">
        <f>'Metric Details'!C447</f>
        <v>0</v>
      </c>
      <c r="U447">
        <f>IF('Metric Details'!F447=$H$1,0,IF('Metric Details'!F447=$H$2,1,2))</f>
        <v>2</v>
      </c>
      <c r="V447">
        <f>LEN('Metric Details'!H447)</f>
        <v>0</v>
      </c>
      <c r="W447">
        <f t="shared" si="20"/>
        <v>2</v>
      </c>
      <c r="X447">
        <f t="shared" ca="1" si="21"/>
        <v>82</v>
      </c>
    </row>
    <row r="448" spans="18:24">
      <c r="R448">
        <f t="shared" ca="1" si="19"/>
        <v>1</v>
      </c>
      <c r="S448">
        <f>Metrics!B448</f>
        <v>0</v>
      </c>
      <c r="T448">
        <f>'Metric Details'!C448</f>
        <v>0</v>
      </c>
      <c r="U448">
        <f>IF('Metric Details'!F448=$H$1,0,IF('Metric Details'!F448=$H$2,1,2))</f>
        <v>2</v>
      </c>
      <c r="V448">
        <f>LEN('Metric Details'!H448)</f>
        <v>0</v>
      </c>
      <c r="W448">
        <f t="shared" si="20"/>
        <v>2</v>
      </c>
      <c r="X448">
        <f t="shared" ca="1" si="21"/>
        <v>82</v>
      </c>
    </row>
    <row r="449" spans="18:24">
      <c r="R449">
        <f t="shared" ca="1" si="19"/>
        <v>1</v>
      </c>
      <c r="S449">
        <f>Metrics!B449</f>
        <v>0</v>
      </c>
      <c r="T449">
        <f>'Metric Details'!C449</f>
        <v>0</v>
      </c>
      <c r="U449">
        <f>IF('Metric Details'!F449=$H$1,0,IF('Metric Details'!F449=$H$2,1,2))</f>
        <v>2</v>
      </c>
      <c r="V449">
        <f>LEN('Metric Details'!H449)</f>
        <v>0</v>
      </c>
      <c r="W449">
        <f t="shared" si="20"/>
        <v>2</v>
      </c>
      <c r="X449">
        <f t="shared" ca="1" si="21"/>
        <v>82</v>
      </c>
    </row>
    <row r="450" spans="18:24">
      <c r="R450">
        <f t="shared" ca="1" si="19"/>
        <v>1</v>
      </c>
      <c r="S450">
        <f>Metrics!B450</f>
        <v>0</v>
      </c>
      <c r="T450">
        <f>'Metric Details'!C450</f>
        <v>0</v>
      </c>
      <c r="U450">
        <f>IF('Metric Details'!F450=$H$1,0,IF('Metric Details'!F450=$H$2,1,2))</f>
        <v>2</v>
      </c>
      <c r="V450">
        <f>LEN('Metric Details'!H450)</f>
        <v>0</v>
      </c>
      <c r="W450">
        <f t="shared" si="20"/>
        <v>2</v>
      </c>
      <c r="X450">
        <f t="shared" ca="1" si="21"/>
        <v>82</v>
      </c>
    </row>
    <row r="451" spans="18:24">
      <c r="R451">
        <f t="shared" ref="R451:R514" ca="1" si="22">IF(INDEX(W:W,X451)&gt;0,1,0)</f>
        <v>1</v>
      </c>
      <c r="S451">
        <f>Metrics!B451</f>
        <v>0</v>
      </c>
      <c r="T451">
        <f>'Metric Details'!C451</f>
        <v>0</v>
      </c>
      <c r="U451">
        <f>IF('Metric Details'!F451=$H$1,0,IF('Metric Details'!F451=$H$2,1,2))</f>
        <v>2</v>
      </c>
      <c r="V451">
        <f>LEN('Metric Details'!H451)</f>
        <v>0</v>
      </c>
      <c r="W451">
        <f t="shared" ref="W451:W514" si="23">IF(V451&gt;0,2,U451)</f>
        <v>2</v>
      </c>
      <c r="X451">
        <f t="shared" ca="1" si="21"/>
        <v>82</v>
      </c>
    </row>
    <row r="452" spans="18:24">
      <c r="R452">
        <f t="shared" ca="1" si="22"/>
        <v>1</v>
      </c>
      <c r="S452">
        <f>Metrics!B452</f>
        <v>0</v>
      </c>
      <c r="T452">
        <f>'Metric Details'!C452</f>
        <v>0</v>
      </c>
      <c r="U452">
        <f>IF('Metric Details'!F452=$H$1,0,IF('Metric Details'!F452=$H$2,1,2))</f>
        <v>2</v>
      </c>
      <c r="V452">
        <f>LEN('Metric Details'!H452)</f>
        <v>0</v>
      </c>
      <c r="W452">
        <f t="shared" si="23"/>
        <v>2</v>
      </c>
      <c r="X452">
        <f t="shared" ca="1" si="21"/>
        <v>82</v>
      </c>
    </row>
    <row r="453" spans="18:24">
      <c r="R453">
        <f t="shared" ca="1" si="22"/>
        <v>1</v>
      </c>
      <c r="S453">
        <f>Metrics!B453</f>
        <v>0</v>
      </c>
      <c r="T453">
        <f>'Metric Details'!C453</f>
        <v>0</v>
      </c>
      <c r="U453">
        <f>IF('Metric Details'!F453=$H$1,0,IF('Metric Details'!F453=$H$2,1,2))</f>
        <v>2</v>
      </c>
      <c r="V453">
        <f>LEN('Metric Details'!H453)</f>
        <v>0</v>
      </c>
      <c r="W453">
        <f t="shared" si="23"/>
        <v>2</v>
      </c>
      <c r="X453">
        <f t="shared" ca="1" si="21"/>
        <v>82</v>
      </c>
    </row>
    <row r="454" spans="18:24">
      <c r="R454">
        <f t="shared" ca="1" si="22"/>
        <v>1</v>
      </c>
      <c r="S454">
        <f>Metrics!B454</f>
        <v>0</v>
      </c>
      <c r="T454">
        <f>'Metric Details'!C454</f>
        <v>0</v>
      </c>
      <c r="U454">
        <f>IF('Metric Details'!F454=$H$1,0,IF('Metric Details'!F454=$H$2,1,2))</f>
        <v>2</v>
      </c>
      <c r="V454">
        <f>LEN('Metric Details'!H454)</f>
        <v>0</v>
      </c>
      <c r="W454">
        <f t="shared" si="23"/>
        <v>2</v>
      </c>
      <c r="X454">
        <f t="shared" ref="X454:X517" ca="1" si="24">ROW(INDIRECT(ADDRESS(MATCH(S454,T:T,0),COLUMN(T454),1)))</f>
        <v>82</v>
      </c>
    </row>
    <row r="455" spans="18:24">
      <c r="R455">
        <f t="shared" ca="1" si="22"/>
        <v>1</v>
      </c>
      <c r="S455">
        <f>Metrics!B455</f>
        <v>0</v>
      </c>
      <c r="T455">
        <f>'Metric Details'!C455</f>
        <v>0</v>
      </c>
      <c r="U455">
        <f>IF('Metric Details'!F455=$H$1,0,IF('Metric Details'!F455=$H$2,1,2))</f>
        <v>2</v>
      </c>
      <c r="V455">
        <f>LEN('Metric Details'!H455)</f>
        <v>0</v>
      </c>
      <c r="W455">
        <f t="shared" si="23"/>
        <v>2</v>
      </c>
      <c r="X455">
        <f t="shared" ca="1" si="24"/>
        <v>82</v>
      </c>
    </row>
    <row r="456" spans="18:24">
      <c r="R456">
        <f t="shared" ca="1" si="22"/>
        <v>1</v>
      </c>
      <c r="S456">
        <f>Metrics!B456</f>
        <v>0</v>
      </c>
      <c r="T456">
        <f>'Metric Details'!C456</f>
        <v>0</v>
      </c>
      <c r="U456">
        <f>IF('Metric Details'!F456=$H$1,0,IF('Metric Details'!F456=$H$2,1,2))</f>
        <v>2</v>
      </c>
      <c r="V456">
        <f>LEN('Metric Details'!H456)</f>
        <v>0</v>
      </c>
      <c r="W456">
        <f t="shared" si="23"/>
        <v>2</v>
      </c>
      <c r="X456">
        <f t="shared" ca="1" si="24"/>
        <v>82</v>
      </c>
    </row>
    <row r="457" spans="18:24">
      <c r="R457">
        <f t="shared" ca="1" si="22"/>
        <v>1</v>
      </c>
      <c r="S457">
        <f>Metrics!B457</f>
        <v>0</v>
      </c>
      <c r="T457">
        <f>'Metric Details'!C457</f>
        <v>0</v>
      </c>
      <c r="U457">
        <f>IF('Metric Details'!F457=$H$1,0,IF('Metric Details'!F457=$H$2,1,2))</f>
        <v>2</v>
      </c>
      <c r="V457">
        <f>LEN('Metric Details'!H457)</f>
        <v>0</v>
      </c>
      <c r="W457">
        <f t="shared" si="23"/>
        <v>2</v>
      </c>
      <c r="X457">
        <f t="shared" ca="1" si="24"/>
        <v>82</v>
      </c>
    </row>
    <row r="458" spans="18:24">
      <c r="R458">
        <f t="shared" ca="1" si="22"/>
        <v>1</v>
      </c>
      <c r="S458">
        <f>Metrics!B458</f>
        <v>0</v>
      </c>
      <c r="T458">
        <f>'Metric Details'!C458</f>
        <v>0</v>
      </c>
      <c r="U458">
        <f>IF('Metric Details'!F458=$H$1,0,IF('Metric Details'!F458=$H$2,1,2))</f>
        <v>2</v>
      </c>
      <c r="V458">
        <f>LEN('Metric Details'!H458)</f>
        <v>0</v>
      </c>
      <c r="W458">
        <f t="shared" si="23"/>
        <v>2</v>
      </c>
      <c r="X458">
        <f t="shared" ca="1" si="24"/>
        <v>82</v>
      </c>
    </row>
    <row r="459" spans="18:24">
      <c r="R459">
        <f t="shared" ca="1" si="22"/>
        <v>1</v>
      </c>
      <c r="S459">
        <f>Metrics!B459</f>
        <v>0</v>
      </c>
      <c r="T459">
        <f>'Metric Details'!C459</f>
        <v>0</v>
      </c>
      <c r="U459">
        <f>IF('Metric Details'!F459=$H$1,0,IF('Metric Details'!F459=$H$2,1,2))</f>
        <v>2</v>
      </c>
      <c r="V459">
        <f>LEN('Metric Details'!H459)</f>
        <v>0</v>
      </c>
      <c r="W459">
        <f t="shared" si="23"/>
        <v>2</v>
      </c>
      <c r="X459">
        <f t="shared" ca="1" si="24"/>
        <v>82</v>
      </c>
    </row>
    <row r="460" spans="18:24">
      <c r="R460">
        <f t="shared" ca="1" si="22"/>
        <v>1</v>
      </c>
      <c r="S460">
        <f>Metrics!B460</f>
        <v>0</v>
      </c>
      <c r="T460">
        <f>'Metric Details'!C460</f>
        <v>0</v>
      </c>
      <c r="U460">
        <f>IF('Metric Details'!F460=$H$1,0,IF('Metric Details'!F460=$H$2,1,2))</f>
        <v>2</v>
      </c>
      <c r="V460">
        <f>LEN('Metric Details'!H460)</f>
        <v>0</v>
      </c>
      <c r="W460">
        <f t="shared" si="23"/>
        <v>2</v>
      </c>
      <c r="X460">
        <f t="shared" ca="1" si="24"/>
        <v>82</v>
      </c>
    </row>
    <row r="461" spans="18:24">
      <c r="R461">
        <f t="shared" ca="1" si="22"/>
        <v>1</v>
      </c>
      <c r="S461">
        <f>Metrics!B461</f>
        <v>0</v>
      </c>
      <c r="T461">
        <f>'Metric Details'!C461</f>
        <v>0</v>
      </c>
      <c r="U461">
        <f>IF('Metric Details'!F461=$H$1,0,IF('Metric Details'!F461=$H$2,1,2))</f>
        <v>2</v>
      </c>
      <c r="V461">
        <f>LEN('Metric Details'!H461)</f>
        <v>0</v>
      </c>
      <c r="W461">
        <f t="shared" si="23"/>
        <v>2</v>
      </c>
      <c r="X461">
        <f t="shared" ca="1" si="24"/>
        <v>82</v>
      </c>
    </row>
    <row r="462" spans="18:24">
      <c r="R462">
        <f t="shared" ca="1" si="22"/>
        <v>1</v>
      </c>
      <c r="S462">
        <f>Metrics!B462</f>
        <v>0</v>
      </c>
      <c r="T462">
        <f>'Metric Details'!C462</f>
        <v>0</v>
      </c>
      <c r="U462">
        <f>IF('Metric Details'!F462=$H$1,0,IF('Metric Details'!F462=$H$2,1,2))</f>
        <v>2</v>
      </c>
      <c r="V462">
        <f>LEN('Metric Details'!H462)</f>
        <v>0</v>
      </c>
      <c r="W462">
        <f t="shared" si="23"/>
        <v>2</v>
      </c>
      <c r="X462">
        <f t="shared" ca="1" si="24"/>
        <v>82</v>
      </c>
    </row>
    <row r="463" spans="18:24">
      <c r="R463">
        <f t="shared" ca="1" si="22"/>
        <v>1</v>
      </c>
      <c r="S463">
        <f>Metrics!B463</f>
        <v>0</v>
      </c>
      <c r="T463">
        <f>'Metric Details'!C463</f>
        <v>0</v>
      </c>
      <c r="U463">
        <f>IF('Metric Details'!F463=$H$1,0,IF('Metric Details'!F463=$H$2,1,2))</f>
        <v>2</v>
      </c>
      <c r="V463">
        <f>LEN('Metric Details'!H463)</f>
        <v>0</v>
      </c>
      <c r="W463">
        <f t="shared" si="23"/>
        <v>2</v>
      </c>
      <c r="X463">
        <f t="shared" ca="1" si="24"/>
        <v>82</v>
      </c>
    </row>
    <row r="464" spans="18:24">
      <c r="R464">
        <f t="shared" ca="1" si="22"/>
        <v>1</v>
      </c>
      <c r="S464">
        <f>Metrics!B464</f>
        <v>0</v>
      </c>
      <c r="T464">
        <f>'Metric Details'!C464</f>
        <v>0</v>
      </c>
      <c r="U464">
        <f>IF('Metric Details'!F464=$H$1,0,IF('Metric Details'!F464=$H$2,1,2))</f>
        <v>2</v>
      </c>
      <c r="V464">
        <f>LEN('Metric Details'!H464)</f>
        <v>0</v>
      </c>
      <c r="W464">
        <f t="shared" si="23"/>
        <v>2</v>
      </c>
      <c r="X464">
        <f t="shared" ca="1" si="24"/>
        <v>82</v>
      </c>
    </row>
    <row r="465" spans="18:24">
      <c r="R465">
        <f t="shared" ca="1" si="22"/>
        <v>1</v>
      </c>
      <c r="S465">
        <f>Metrics!B465</f>
        <v>0</v>
      </c>
      <c r="T465">
        <f>'Metric Details'!C465</f>
        <v>0</v>
      </c>
      <c r="U465">
        <f>IF('Metric Details'!F465=$H$1,0,IF('Metric Details'!F465=$H$2,1,2))</f>
        <v>2</v>
      </c>
      <c r="V465">
        <f>LEN('Metric Details'!H465)</f>
        <v>0</v>
      </c>
      <c r="W465">
        <f t="shared" si="23"/>
        <v>2</v>
      </c>
      <c r="X465">
        <f t="shared" ca="1" si="24"/>
        <v>82</v>
      </c>
    </row>
    <row r="466" spans="18:24">
      <c r="R466">
        <f t="shared" ca="1" si="22"/>
        <v>1</v>
      </c>
      <c r="S466">
        <f>Metrics!B466</f>
        <v>0</v>
      </c>
      <c r="T466">
        <f>'Metric Details'!C466</f>
        <v>0</v>
      </c>
      <c r="U466">
        <f>IF('Metric Details'!F466=$H$1,0,IF('Metric Details'!F466=$H$2,1,2))</f>
        <v>2</v>
      </c>
      <c r="V466">
        <f>LEN('Metric Details'!H466)</f>
        <v>0</v>
      </c>
      <c r="W466">
        <f t="shared" si="23"/>
        <v>2</v>
      </c>
      <c r="X466">
        <f t="shared" ca="1" si="24"/>
        <v>82</v>
      </c>
    </row>
    <row r="467" spans="18:24">
      <c r="R467">
        <f t="shared" ca="1" si="22"/>
        <v>1</v>
      </c>
      <c r="S467">
        <f>Metrics!B467</f>
        <v>0</v>
      </c>
      <c r="T467">
        <f>'Metric Details'!C467</f>
        <v>0</v>
      </c>
      <c r="U467">
        <f>IF('Metric Details'!F467=$H$1,0,IF('Metric Details'!F467=$H$2,1,2))</f>
        <v>2</v>
      </c>
      <c r="V467">
        <f>LEN('Metric Details'!H467)</f>
        <v>0</v>
      </c>
      <c r="W467">
        <f t="shared" si="23"/>
        <v>2</v>
      </c>
      <c r="X467">
        <f t="shared" ca="1" si="24"/>
        <v>82</v>
      </c>
    </row>
    <row r="468" spans="18:24">
      <c r="R468">
        <f t="shared" ca="1" si="22"/>
        <v>1</v>
      </c>
      <c r="S468">
        <f>Metrics!B468</f>
        <v>0</v>
      </c>
      <c r="T468">
        <f>'Metric Details'!C468</f>
        <v>0</v>
      </c>
      <c r="U468">
        <f>IF('Metric Details'!F468=$H$1,0,IF('Metric Details'!F468=$H$2,1,2))</f>
        <v>2</v>
      </c>
      <c r="V468">
        <f>LEN('Metric Details'!H468)</f>
        <v>0</v>
      </c>
      <c r="W468">
        <f t="shared" si="23"/>
        <v>2</v>
      </c>
      <c r="X468">
        <f t="shared" ca="1" si="24"/>
        <v>82</v>
      </c>
    </row>
    <row r="469" spans="18:24">
      <c r="R469">
        <f t="shared" ca="1" si="22"/>
        <v>1</v>
      </c>
      <c r="S469">
        <f>Metrics!B469</f>
        <v>0</v>
      </c>
      <c r="T469">
        <f>'Metric Details'!C469</f>
        <v>0</v>
      </c>
      <c r="U469">
        <f>IF('Metric Details'!F469=$H$1,0,IF('Metric Details'!F469=$H$2,1,2))</f>
        <v>2</v>
      </c>
      <c r="V469">
        <f>LEN('Metric Details'!H469)</f>
        <v>0</v>
      </c>
      <c r="W469">
        <f t="shared" si="23"/>
        <v>2</v>
      </c>
      <c r="X469">
        <f t="shared" ca="1" si="24"/>
        <v>82</v>
      </c>
    </row>
    <row r="470" spans="18:24">
      <c r="R470">
        <f t="shared" ca="1" si="22"/>
        <v>1</v>
      </c>
      <c r="S470">
        <f>Metrics!B470</f>
        <v>0</v>
      </c>
      <c r="T470">
        <f>'Metric Details'!C470</f>
        <v>0</v>
      </c>
      <c r="U470">
        <f>IF('Metric Details'!F470=$H$1,0,IF('Metric Details'!F470=$H$2,1,2))</f>
        <v>2</v>
      </c>
      <c r="V470">
        <f>LEN('Metric Details'!H470)</f>
        <v>0</v>
      </c>
      <c r="W470">
        <f t="shared" si="23"/>
        <v>2</v>
      </c>
      <c r="X470">
        <f t="shared" ca="1" si="24"/>
        <v>82</v>
      </c>
    </row>
    <row r="471" spans="18:24">
      <c r="R471">
        <f t="shared" ca="1" si="22"/>
        <v>1</v>
      </c>
      <c r="S471">
        <f>Metrics!B471</f>
        <v>0</v>
      </c>
      <c r="T471">
        <f>'Metric Details'!C471</f>
        <v>0</v>
      </c>
      <c r="U471">
        <f>IF('Metric Details'!F471=$H$1,0,IF('Metric Details'!F471=$H$2,1,2))</f>
        <v>2</v>
      </c>
      <c r="V471">
        <f>LEN('Metric Details'!H471)</f>
        <v>0</v>
      </c>
      <c r="W471">
        <f t="shared" si="23"/>
        <v>2</v>
      </c>
      <c r="X471">
        <f t="shared" ca="1" si="24"/>
        <v>82</v>
      </c>
    </row>
    <row r="472" spans="18:24">
      <c r="R472">
        <f t="shared" ca="1" si="22"/>
        <v>1</v>
      </c>
      <c r="S472">
        <f>Metrics!B472</f>
        <v>0</v>
      </c>
      <c r="T472">
        <f>'Metric Details'!C472</f>
        <v>0</v>
      </c>
      <c r="U472">
        <f>IF('Metric Details'!F472=$H$1,0,IF('Metric Details'!F472=$H$2,1,2))</f>
        <v>2</v>
      </c>
      <c r="V472">
        <f>LEN('Metric Details'!H472)</f>
        <v>0</v>
      </c>
      <c r="W472">
        <f t="shared" si="23"/>
        <v>2</v>
      </c>
      <c r="X472">
        <f t="shared" ca="1" si="24"/>
        <v>82</v>
      </c>
    </row>
    <row r="473" spans="18:24">
      <c r="R473">
        <f t="shared" ca="1" si="22"/>
        <v>1</v>
      </c>
      <c r="S473">
        <f>Metrics!B473</f>
        <v>0</v>
      </c>
      <c r="T473">
        <f>'Metric Details'!C473</f>
        <v>0</v>
      </c>
      <c r="U473">
        <f>IF('Metric Details'!F473=$H$1,0,IF('Metric Details'!F473=$H$2,1,2))</f>
        <v>2</v>
      </c>
      <c r="V473">
        <f>LEN('Metric Details'!H473)</f>
        <v>0</v>
      </c>
      <c r="W473">
        <f t="shared" si="23"/>
        <v>2</v>
      </c>
      <c r="X473">
        <f t="shared" ca="1" si="24"/>
        <v>82</v>
      </c>
    </row>
    <row r="474" spans="18:24">
      <c r="R474">
        <f t="shared" ca="1" si="22"/>
        <v>1</v>
      </c>
      <c r="S474">
        <f>Metrics!B474</f>
        <v>0</v>
      </c>
      <c r="T474">
        <f>'Metric Details'!C474</f>
        <v>0</v>
      </c>
      <c r="U474">
        <f>IF('Metric Details'!F474=$H$1,0,IF('Metric Details'!F474=$H$2,1,2))</f>
        <v>2</v>
      </c>
      <c r="V474">
        <f>LEN('Metric Details'!H474)</f>
        <v>0</v>
      </c>
      <c r="W474">
        <f t="shared" si="23"/>
        <v>2</v>
      </c>
      <c r="X474">
        <f t="shared" ca="1" si="24"/>
        <v>82</v>
      </c>
    </row>
    <row r="475" spans="18:24">
      <c r="R475">
        <f t="shared" ca="1" si="22"/>
        <v>1</v>
      </c>
      <c r="S475">
        <f>Metrics!B475</f>
        <v>0</v>
      </c>
      <c r="T475">
        <f>'Metric Details'!C475</f>
        <v>0</v>
      </c>
      <c r="U475">
        <f>IF('Metric Details'!F475=$H$1,0,IF('Metric Details'!F475=$H$2,1,2))</f>
        <v>2</v>
      </c>
      <c r="V475">
        <f>LEN('Metric Details'!H475)</f>
        <v>0</v>
      </c>
      <c r="W475">
        <f t="shared" si="23"/>
        <v>2</v>
      </c>
      <c r="X475">
        <f t="shared" ca="1" si="24"/>
        <v>82</v>
      </c>
    </row>
    <row r="476" spans="18:24">
      <c r="R476">
        <f t="shared" ca="1" si="22"/>
        <v>1</v>
      </c>
      <c r="S476">
        <f>Metrics!B476</f>
        <v>0</v>
      </c>
      <c r="T476">
        <f>'Metric Details'!C476</f>
        <v>0</v>
      </c>
      <c r="U476">
        <f>IF('Metric Details'!F476=$H$1,0,IF('Metric Details'!F476=$H$2,1,2))</f>
        <v>2</v>
      </c>
      <c r="V476">
        <f>LEN('Metric Details'!H476)</f>
        <v>0</v>
      </c>
      <c r="W476">
        <f t="shared" si="23"/>
        <v>2</v>
      </c>
      <c r="X476">
        <f t="shared" ca="1" si="24"/>
        <v>82</v>
      </c>
    </row>
    <row r="477" spans="18:24">
      <c r="R477">
        <f t="shared" ca="1" si="22"/>
        <v>1</v>
      </c>
      <c r="S477">
        <f>Metrics!B477</f>
        <v>0</v>
      </c>
      <c r="T477">
        <f>'Metric Details'!C477</f>
        <v>0</v>
      </c>
      <c r="U477">
        <f>IF('Metric Details'!F477=$H$1,0,IF('Metric Details'!F477=$H$2,1,2))</f>
        <v>2</v>
      </c>
      <c r="V477">
        <f>LEN('Metric Details'!H477)</f>
        <v>0</v>
      </c>
      <c r="W477">
        <f t="shared" si="23"/>
        <v>2</v>
      </c>
      <c r="X477">
        <f t="shared" ca="1" si="24"/>
        <v>82</v>
      </c>
    </row>
    <row r="478" spans="18:24">
      <c r="R478">
        <f t="shared" ca="1" si="22"/>
        <v>1</v>
      </c>
      <c r="S478">
        <f>Metrics!B478</f>
        <v>0</v>
      </c>
      <c r="T478">
        <f>'Metric Details'!C478</f>
        <v>0</v>
      </c>
      <c r="U478">
        <f>IF('Metric Details'!F478=$H$1,0,IF('Metric Details'!F478=$H$2,1,2))</f>
        <v>2</v>
      </c>
      <c r="V478">
        <f>LEN('Metric Details'!H478)</f>
        <v>0</v>
      </c>
      <c r="W478">
        <f t="shared" si="23"/>
        <v>2</v>
      </c>
      <c r="X478">
        <f t="shared" ca="1" si="24"/>
        <v>82</v>
      </c>
    </row>
    <row r="479" spans="18:24">
      <c r="R479">
        <f t="shared" ca="1" si="22"/>
        <v>1</v>
      </c>
      <c r="S479">
        <f>Metrics!B479</f>
        <v>0</v>
      </c>
      <c r="T479">
        <f>'Metric Details'!C479</f>
        <v>0</v>
      </c>
      <c r="U479">
        <f>IF('Metric Details'!F479=$H$1,0,IF('Metric Details'!F479=$H$2,1,2))</f>
        <v>2</v>
      </c>
      <c r="V479">
        <f>LEN('Metric Details'!H479)</f>
        <v>0</v>
      </c>
      <c r="W479">
        <f t="shared" si="23"/>
        <v>2</v>
      </c>
      <c r="X479">
        <f t="shared" ca="1" si="24"/>
        <v>82</v>
      </c>
    </row>
    <row r="480" spans="18:24">
      <c r="R480">
        <f t="shared" ca="1" si="22"/>
        <v>1</v>
      </c>
      <c r="S480">
        <f>Metrics!B480</f>
        <v>0</v>
      </c>
      <c r="T480">
        <f>'Metric Details'!C480</f>
        <v>0</v>
      </c>
      <c r="U480">
        <f>IF('Metric Details'!F480=$H$1,0,IF('Metric Details'!F480=$H$2,1,2))</f>
        <v>2</v>
      </c>
      <c r="V480">
        <f>LEN('Metric Details'!H480)</f>
        <v>0</v>
      </c>
      <c r="W480">
        <f t="shared" si="23"/>
        <v>2</v>
      </c>
      <c r="X480">
        <f t="shared" ca="1" si="24"/>
        <v>82</v>
      </c>
    </row>
    <row r="481" spans="18:24">
      <c r="R481">
        <f t="shared" ca="1" si="22"/>
        <v>1</v>
      </c>
      <c r="S481">
        <f>Metrics!B481</f>
        <v>0</v>
      </c>
      <c r="T481">
        <f>'Metric Details'!C481</f>
        <v>0</v>
      </c>
      <c r="U481">
        <f>IF('Metric Details'!F481=$H$1,0,IF('Metric Details'!F481=$H$2,1,2))</f>
        <v>2</v>
      </c>
      <c r="V481">
        <f>LEN('Metric Details'!H481)</f>
        <v>0</v>
      </c>
      <c r="W481">
        <f t="shared" si="23"/>
        <v>2</v>
      </c>
      <c r="X481">
        <f t="shared" ca="1" si="24"/>
        <v>82</v>
      </c>
    </row>
    <row r="482" spans="18:24">
      <c r="R482">
        <f t="shared" ca="1" si="22"/>
        <v>1</v>
      </c>
      <c r="S482">
        <f>Metrics!B482</f>
        <v>0</v>
      </c>
      <c r="T482">
        <f>'Metric Details'!C482</f>
        <v>0</v>
      </c>
      <c r="U482">
        <f>IF('Metric Details'!F482=$H$1,0,IF('Metric Details'!F482=$H$2,1,2))</f>
        <v>2</v>
      </c>
      <c r="V482">
        <f>LEN('Metric Details'!H482)</f>
        <v>0</v>
      </c>
      <c r="W482">
        <f t="shared" si="23"/>
        <v>2</v>
      </c>
      <c r="X482">
        <f t="shared" ca="1" si="24"/>
        <v>82</v>
      </c>
    </row>
    <row r="483" spans="18:24">
      <c r="R483">
        <f t="shared" ca="1" si="22"/>
        <v>1</v>
      </c>
      <c r="S483">
        <f>Metrics!B483</f>
        <v>0</v>
      </c>
      <c r="T483">
        <f>'Metric Details'!C483</f>
        <v>0</v>
      </c>
      <c r="U483">
        <f>IF('Metric Details'!F483=$H$1,0,IF('Metric Details'!F483=$H$2,1,2))</f>
        <v>2</v>
      </c>
      <c r="V483">
        <f>LEN('Metric Details'!H483)</f>
        <v>0</v>
      </c>
      <c r="W483">
        <f t="shared" si="23"/>
        <v>2</v>
      </c>
      <c r="X483">
        <f t="shared" ca="1" si="24"/>
        <v>82</v>
      </c>
    </row>
    <row r="484" spans="18:24">
      <c r="R484">
        <f t="shared" ca="1" si="22"/>
        <v>1</v>
      </c>
      <c r="S484">
        <f>Metrics!B484</f>
        <v>0</v>
      </c>
      <c r="T484">
        <f>'Metric Details'!C484</f>
        <v>0</v>
      </c>
      <c r="U484">
        <f>IF('Metric Details'!F484=$H$1,0,IF('Metric Details'!F484=$H$2,1,2))</f>
        <v>2</v>
      </c>
      <c r="V484">
        <f>LEN('Metric Details'!H484)</f>
        <v>0</v>
      </c>
      <c r="W484">
        <f t="shared" si="23"/>
        <v>2</v>
      </c>
      <c r="X484">
        <f t="shared" ca="1" si="24"/>
        <v>82</v>
      </c>
    </row>
    <row r="485" spans="18:24">
      <c r="R485">
        <f t="shared" ca="1" si="22"/>
        <v>1</v>
      </c>
      <c r="S485">
        <f>Metrics!B485</f>
        <v>0</v>
      </c>
      <c r="T485">
        <f>'Metric Details'!C485</f>
        <v>0</v>
      </c>
      <c r="U485">
        <f>IF('Metric Details'!F485=$H$1,0,IF('Metric Details'!F485=$H$2,1,2))</f>
        <v>2</v>
      </c>
      <c r="V485">
        <f>LEN('Metric Details'!H485)</f>
        <v>0</v>
      </c>
      <c r="W485">
        <f t="shared" si="23"/>
        <v>2</v>
      </c>
      <c r="X485">
        <f t="shared" ca="1" si="24"/>
        <v>82</v>
      </c>
    </row>
    <row r="486" spans="18:24">
      <c r="R486">
        <f t="shared" ca="1" si="22"/>
        <v>1</v>
      </c>
      <c r="S486">
        <f>Metrics!B486</f>
        <v>0</v>
      </c>
      <c r="T486">
        <f>'Metric Details'!C486</f>
        <v>0</v>
      </c>
      <c r="U486">
        <f>IF('Metric Details'!F486=$H$1,0,IF('Metric Details'!F486=$H$2,1,2))</f>
        <v>2</v>
      </c>
      <c r="V486">
        <f>LEN('Metric Details'!H486)</f>
        <v>0</v>
      </c>
      <c r="W486">
        <f t="shared" si="23"/>
        <v>2</v>
      </c>
      <c r="X486">
        <f t="shared" ca="1" si="24"/>
        <v>82</v>
      </c>
    </row>
    <row r="487" spans="18:24">
      <c r="R487">
        <f t="shared" ca="1" si="22"/>
        <v>1</v>
      </c>
      <c r="S487">
        <f>Metrics!B487</f>
        <v>0</v>
      </c>
      <c r="T487">
        <f>'Metric Details'!C487</f>
        <v>0</v>
      </c>
      <c r="U487">
        <f>IF('Metric Details'!F487=$H$1,0,IF('Metric Details'!F487=$H$2,1,2))</f>
        <v>2</v>
      </c>
      <c r="V487">
        <f>LEN('Metric Details'!H487)</f>
        <v>0</v>
      </c>
      <c r="W487">
        <f t="shared" si="23"/>
        <v>2</v>
      </c>
      <c r="X487">
        <f t="shared" ca="1" si="24"/>
        <v>82</v>
      </c>
    </row>
    <row r="488" spans="18:24">
      <c r="R488">
        <f t="shared" ca="1" si="22"/>
        <v>1</v>
      </c>
      <c r="S488">
        <f>Metrics!B488</f>
        <v>0</v>
      </c>
      <c r="T488">
        <f>'Metric Details'!C488</f>
        <v>0</v>
      </c>
      <c r="U488">
        <f>IF('Metric Details'!F488=$H$1,0,IF('Metric Details'!F488=$H$2,1,2))</f>
        <v>2</v>
      </c>
      <c r="V488">
        <f>LEN('Metric Details'!H488)</f>
        <v>0</v>
      </c>
      <c r="W488">
        <f t="shared" si="23"/>
        <v>2</v>
      </c>
      <c r="X488">
        <f t="shared" ca="1" si="24"/>
        <v>82</v>
      </c>
    </row>
    <row r="489" spans="18:24">
      <c r="R489">
        <f t="shared" ca="1" si="22"/>
        <v>1</v>
      </c>
      <c r="S489">
        <f>Metrics!B489</f>
        <v>0</v>
      </c>
      <c r="T489">
        <f>'Metric Details'!C489</f>
        <v>0</v>
      </c>
      <c r="U489">
        <f>IF('Metric Details'!F489=$H$1,0,IF('Metric Details'!F489=$H$2,1,2))</f>
        <v>2</v>
      </c>
      <c r="V489">
        <f>LEN('Metric Details'!H489)</f>
        <v>0</v>
      </c>
      <c r="W489">
        <f t="shared" si="23"/>
        <v>2</v>
      </c>
      <c r="X489">
        <f t="shared" ca="1" si="24"/>
        <v>82</v>
      </c>
    </row>
    <row r="490" spans="18:24">
      <c r="R490">
        <f t="shared" ca="1" si="22"/>
        <v>1</v>
      </c>
      <c r="S490">
        <f>Metrics!B490</f>
        <v>0</v>
      </c>
      <c r="T490">
        <f>'Metric Details'!C490</f>
        <v>0</v>
      </c>
      <c r="U490">
        <f>IF('Metric Details'!F490=$H$1,0,IF('Metric Details'!F490=$H$2,1,2))</f>
        <v>2</v>
      </c>
      <c r="V490">
        <f>LEN('Metric Details'!H490)</f>
        <v>0</v>
      </c>
      <c r="W490">
        <f t="shared" si="23"/>
        <v>2</v>
      </c>
      <c r="X490">
        <f t="shared" ca="1" si="24"/>
        <v>82</v>
      </c>
    </row>
    <row r="491" spans="18:24">
      <c r="R491">
        <f t="shared" ca="1" si="22"/>
        <v>1</v>
      </c>
      <c r="S491">
        <f>Metrics!B491</f>
        <v>0</v>
      </c>
      <c r="T491">
        <f>'Metric Details'!C491</f>
        <v>0</v>
      </c>
      <c r="U491">
        <f>IF('Metric Details'!F491=$H$1,0,IF('Metric Details'!F491=$H$2,1,2))</f>
        <v>2</v>
      </c>
      <c r="V491">
        <f>LEN('Metric Details'!H491)</f>
        <v>0</v>
      </c>
      <c r="W491">
        <f t="shared" si="23"/>
        <v>2</v>
      </c>
      <c r="X491">
        <f t="shared" ca="1" si="24"/>
        <v>82</v>
      </c>
    </row>
    <row r="492" spans="18:24">
      <c r="R492">
        <f t="shared" ca="1" si="22"/>
        <v>1</v>
      </c>
      <c r="S492">
        <f>Metrics!B492</f>
        <v>0</v>
      </c>
      <c r="T492">
        <f>'Metric Details'!C492</f>
        <v>0</v>
      </c>
      <c r="U492">
        <f>IF('Metric Details'!F492=$H$1,0,IF('Metric Details'!F492=$H$2,1,2))</f>
        <v>2</v>
      </c>
      <c r="V492">
        <f>LEN('Metric Details'!H492)</f>
        <v>0</v>
      </c>
      <c r="W492">
        <f t="shared" si="23"/>
        <v>2</v>
      </c>
      <c r="X492">
        <f t="shared" ca="1" si="24"/>
        <v>82</v>
      </c>
    </row>
    <row r="493" spans="18:24">
      <c r="R493">
        <f t="shared" ca="1" si="22"/>
        <v>1</v>
      </c>
      <c r="S493">
        <f>Metrics!B493</f>
        <v>0</v>
      </c>
      <c r="T493">
        <f>'Metric Details'!C493</f>
        <v>0</v>
      </c>
      <c r="U493">
        <f>IF('Metric Details'!F493=$H$1,0,IF('Metric Details'!F493=$H$2,1,2))</f>
        <v>2</v>
      </c>
      <c r="V493">
        <f>LEN('Metric Details'!H493)</f>
        <v>0</v>
      </c>
      <c r="W493">
        <f t="shared" si="23"/>
        <v>2</v>
      </c>
      <c r="X493">
        <f t="shared" ca="1" si="24"/>
        <v>82</v>
      </c>
    </row>
    <row r="494" spans="18:24">
      <c r="R494">
        <f t="shared" ca="1" si="22"/>
        <v>1</v>
      </c>
      <c r="S494">
        <f>Metrics!B494</f>
        <v>0</v>
      </c>
      <c r="T494">
        <f>'Metric Details'!C494</f>
        <v>0</v>
      </c>
      <c r="U494">
        <f>IF('Metric Details'!F494=$H$1,0,IF('Metric Details'!F494=$H$2,1,2))</f>
        <v>2</v>
      </c>
      <c r="V494">
        <f>LEN('Metric Details'!H494)</f>
        <v>0</v>
      </c>
      <c r="W494">
        <f t="shared" si="23"/>
        <v>2</v>
      </c>
      <c r="X494">
        <f t="shared" ca="1" si="24"/>
        <v>82</v>
      </c>
    </row>
    <row r="495" spans="18:24">
      <c r="R495">
        <f t="shared" ca="1" si="22"/>
        <v>1</v>
      </c>
      <c r="S495">
        <f>Metrics!B495</f>
        <v>0</v>
      </c>
      <c r="T495">
        <f>'Metric Details'!C495</f>
        <v>0</v>
      </c>
      <c r="U495">
        <f>IF('Metric Details'!F495=$H$1,0,IF('Metric Details'!F495=$H$2,1,2))</f>
        <v>2</v>
      </c>
      <c r="V495">
        <f>LEN('Metric Details'!H495)</f>
        <v>0</v>
      </c>
      <c r="W495">
        <f t="shared" si="23"/>
        <v>2</v>
      </c>
      <c r="X495">
        <f t="shared" ca="1" si="24"/>
        <v>82</v>
      </c>
    </row>
    <row r="496" spans="18:24">
      <c r="R496">
        <f t="shared" ca="1" si="22"/>
        <v>1</v>
      </c>
      <c r="S496">
        <f>Metrics!B496</f>
        <v>0</v>
      </c>
      <c r="T496">
        <f>'Metric Details'!C496</f>
        <v>0</v>
      </c>
      <c r="U496">
        <f>IF('Metric Details'!F496=$H$1,0,IF('Metric Details'!F496=$H$2,1,2))</f>
        <v>2</v>
      </c>
      <c r="V496">
        <f>LEN('Metric Details'!H496)</f>
        <v>0</v>
      </c>
      <c r="W496">
        <f t="shared" si="23"/>
        <v>2</v>
      </c>
      <c r="X496">
        <f t="shared" ca="1" si="24"/>
        <v>82</v>
      </c>
    </row>
    <row r="497" spans="18:24">
      <c r="R497">
        <f t="shared" ca="1" si="22"/>
        <v>1</v>
      </c>
      <c r="S497">
        <f>Metrics!B497</f>
        <v>0</v>
      </c>
      <c r="T497">
        <f>'Metric Details'!C497</f>
        <v>0</v>
      </c>
      <c r="U497">
        <f>IF('Metric Details'!F497=$H$1,0,IF('Metric Details'!F497=$H$2,1,2))</f>
        <v>2</v>
      </c>
      <c r="V497">
        <f>LEN('Metric Details'!H497)</f>
        <v>0</v>
      </c>
      <c r="W497">
        <f t="shared" si="23"/>
        <v>2</v>
      </c>
      <c r="X497">
        <f t="shared" ca="1" si="24"/>
        <v>82</v>
      </c>
    </row>
    <row r="498" spans="18:24">
      <c r="R498">
        <f t="shared" ca="1" si="22"/>
        <v>1</v>
      </c>
      <c r="S498">
        <f>Metrics!B498</f>
        <v>0</v>
      </c>
      <c r="T498">
        <f>'Metric Details'!C498</f>
        <v>0</v>
      </c>
      <c r="U498">
        <f>IF('Metric Details'!F498=$H$1,0,IF('Metric Details'!F498=$H$2,1,2))</f>
        <v>2</v>
      </c>
      <c r="V498">
        <f>LEN('Metric Details'!H498)</f>
        <v>0</v>
      </c>
      <c r="W498">
        <f t="shared" si="23"/>
        <v>2</v>
      </c>
      <c r="X498">
        <f t="shared" ca="1" si="24"/>
        <v>82</v>
      </c>
    </row>
    <row r="499" spans="18:24">
      <c r="R499">
        <f t="shared" ca="1" si="22"/>
        <v>1</v>
      </c>
      <c r="S499">
        <f>Metrics!B499</f>
        <v>0</v>
      </c>
      <c r="T499">
        <f>'Metric Details'!C499</f>
        <v>0</v>
      </c>
      <c r="U499">
        <f>IF('Metric Details'!F499=$H$1,0,IF('Metric Details'!F499=$H$2,1,2))</f>
        <v>2</v>
      </c>
      <c r="V499">
        <f>LEN('Metric Details'!H499)</f>
        <v>0</v>
      </c>
      <c r="W499">
        <f t="shared" si="23"/>
        <v>2</v>
      </c>
      <c r="X499">
        <f t="shared" ca="1" si="24"/>
        <v>82</v>
      </c>
    </row>
    <row r="500" spans="18:24">
      <c r="R500">
        <f t="shared" ca="1" si="22"/>
        <v>1</v>
      </c>
      <c r="S500">
        <f>Metrics!B500</f>
        <v>0</v>
      </c>
      <c r="T500">
        <f>'Metric Details'!C500</f>
        <v>0</v>
      </c>
      <c r="U500">
        <f>IF('Metric Details'!F500=$H$1,0,IF('Metric Details'!F500=$H$2,1,2))</f>
        <v>2</v>
      </c>
      <c r="V500">
        <f>LEN('Metric Details'!H500)</f>
        <v>0</v>
      </c>
      <c r="W500">
        <f t="shared" si="23"/>
        <v>2</v>
      </c>
      <c r="X500">
        <f t="shared" ca="1" si="24"/>
        <v>82</v>
      </c>
    </row>
    <row r="501" spans="18:24">
      <c r="R501">
        <f t="shared" ca="1" si="22"/>
        <v>1</v>
      </c>
      <c r="S501">
        <f>Metrics!B501</f>
        <v>0</v>
      </c>
      <c r="T501">
        <f>'Metric Details'!C501</f>
        <v>0</v>
      </c>
      <c r="U501">
        <f>IF('Metric Details'!F501=$H$1,0,IF('Metric Details'!F501=$H$2,1,2))</f>
        <v>2</v>
      </c>
      <c r="V501">
        <f>LEN('Metric Details'!H501)</f>
        <v>0</v>
      </c>
      <c r="W501">
        <f t="shared" si="23"/>
        <v>2</v>
      </c>
      <c r="X501">
        <f t="shared" ca="1" si="24"/>
        <v>82</v>
      </c>
    </row>
    <row r="502" spans="18:24">
      <c r="R502">
        <f t="shared" ca="1" si="22"/>
        <v>1</v>
      </c>
      <c r="S502">
        <f>Metrics!B502</f>
        <v>0</v>
      </c>
      <c r="T502">
        <f>'Metric Details'!C502</f>
        <v>0</v>
      </c>
      <c r="U502">
        <f>IF('Metric Details'!F502=$H$1,0,IF('Metric Details'!F502=$H$2,1,2))</f>
        <v>2</v>
      </c>
      <c r="V502">
        <f>LEN('Metric Details'!H502)</f>
        <v>0</v>
      </c>
      <c r="W502">
        <f t="shared" si="23"/>
        <v>2</v>
      </c>
      <c r="X502">
        <f t="shared" ca="1" si="24"/>
        <v>82</v>
      </c>
    </row>
    <row r="503" spans="18:24">
      <c r="R503">
        <f t="shared" ca="1" si="22"/>
        <v>1</v>
      </c>
      <c r="S503">
        <f>Metrics!B503</f>
        <v>0</v>
      </c>
      <c r="T503">
        <f>'Metric Details'!C503</f>
        <v>0</v>
      </c>
      <c r="U503">
        <f>IF('Metric Details'!F503=$H$1,0,IF('Metric Details'!F503=$H$2,1,2))</f>
        <v>2</v>
      </c>
      <c r="V503">
        <f>LEN('Metric Details'!H503)</f>
        <v>0</v>
      </c>
      <c r="W503">
        <f t="shared" si="23"/>
        <v>2</v>
      </c>
      <c r="X503">
        <f t="shared" ca="1" si="24"/>
        <v>82</v>
      </c>
    </row>
    <row r="504" spans="18:24">
      <c r="R504">
        <f t="shared" ca="1" si="22"/>
        <v>1</v>
      </c>
      <c r="S504">
        <f>Metrics!B504</f>
        <v>0</v>
      </c>
      <c r="T504">
        <f>'Metric Details'!C504</f>
        <v>0</v>
      </c>
      <c r="U504">
        <f>IF('Metric Details'!F504=$H$1,0,IF('Metric Details'!F504=$H$2,1,2))</f>
        <v>2</v>
      </c>
      <c r="V504">
        <f>LEN('Metric Details'!H504)</f>
        <v>0</v>
      </c>
      <c r="W504">
        <f t="shared" si="23"/>
        <v>2</v>
      </c>
      <c r="X504">
        <f t="shared" ca="1" si="24"/>
        <v>82</v>
      </c>
    </row>
    <row r="505" spans="18:24">
      <c r="R505">
        <f t="shared" ca="1" si="22"/>
        <v>1</v>
      </c>
      <c r="S505">
        <f>Metrics!B505</f>
        <v>0</v>
      </c>
      <c r="T505">
        <f>'Metric Details'!C505</f>
        <v>0</v>
      </c>
      <c r="U505">
        <f>IF('Metric Details'!F505=$H$1,0,IF('Metric Details'!F505=$H$2,1,2))</f>
        <v>2</v>
      </c>
      <c r="V505">
        <f>LEN('Metric Details'!H505)</f>
        <v>0</v>
      </c>
      <c r="W505">
        <f t="shared" si="23"/>
        <v>2</v>
      </c>
      <c r="X505">
        <f t="shared" ca="1" si="24"/>
        <v>82</v>
      </c>
    </row>
    <row r="506" spans="18:24">
      <c r="R506">
        <f t="shared" ca="1" si="22"/>
        <v>1</v>
      </c>
      <c r="S506">
        <f>Metrics!B506</f>
        <v>0</v>
      </c>
      <c r="T506">
        <f>'Metric Details'!C506</f>
        <v>0</v>
      </c>
      <c r="U506">
        <f>IF('Metric Details'!F506=$H$1,0,IF('Metric Details'!F506=$H$2,1,2))</f>
        <v>2</v>
      </c>
      <c r="V506">
        <f>LEN('Metric Details'!H506)</f>
        <v>0</v>
      </c>
      <c r="W506">
        <f t="shared" si="23"/>
        <v>2</v>
      </c>
      <c r="X506">
        <f t="shared" ca="1" si="24"/>
        <v>82</v>
      </c>
    </row>
    <row r="507" spans="18:24">
      <c r="R507">
        <f t="shared" ca="1" si="22"/>
        <v>1</v>
      </c>
      <c r="S507">
        <f>Metrics!B507</f>
        <v>0</v>
      </c>
      <c r="T507">
        <f>'Metric Details'!C507</f>
        <v>0</v>
      </c>
      <c r="U507">
        <f>IF('Metric Details'!F507=$H$1,0,IF('Metric Details'!F507=$H$2,1,2))</f>
        <v>2</v>
      </c>
      <c r="V507">
        <f>LEN('Metric Details'!H507)</f>
        <v>0</v>
      </c>
      <c r="W507">
        <f t="shared" si="23"/>
        <v>2</v>
      </c>
      <c r="X507">
        <f t="shared" ca="1" si="24"/>
        <v>82</v>
      </c>
    </row>
    <row r="508" spans="18:24">
      <c r="R508">
        <f t="shared" ca="1" si="22"/>
        <v>1</v>
      </c>
      <c r="S508">
        <f>Metrics!B508</f>
        <v>0</v>
      </c>
      <c r="T508">
        <f>'Metric Details'!C508</f>
        <v>0</v>
      </c>
      <c r="U508">
        <f>IF('Metric Details'!F508=$H$1,0,IF('Metric Details'!F508=$H$2,1,2))</f>
        <v>2</v>
      </c>
      <c r="V508">
        <f>LEN('Metric Details'!H508)</f>
        <v>0</v>
      </c>
      <c r="W508">
        <f t="shared" si="23"/>
        <v>2</v>
      </c>
      <c r="X508">
        <f t="shared" ca="1" si="24"/>
        <v>82</v>
      </c>
    </row>
    <row r="509" spans="18:24">
      <c r="R509">
        <f t="shared" ca="1" si="22"/>
        <v>1</v>
      </c>
      <c r="S509">
        <f>Metrics!B509</f>
        <v>0</v>
      </c>
      <c r="T509">
        <f>'Metric Details'!C509</f>
        <v>0</v>
      </c>
      <c r="U509">
        <f>IF('Metric Details'!F509=$H$1,0,IF('Metric Details'!F509=$H$2,1,2))</f>
        <v>2</v>
      </c>
      <c r="V509">
        <f>LEN('Metric Details'!H509)</f>
        <v>0</v>
      </c>
      <c r="W509">
        <f t="shared" si="23"/>
        <v>2</v>
      </c>
      <c r="X509">
        <f t="shared" ca="1" si="24"/>
        <v>82</v>
      </c>
    </row>
    <row r="510" spans="18:24">
      <c r="R510">
        <f t="shared" ca="1" si="22"/>
        <v>1</v>
      </c>
      <c r="S510">
        <f>Metrics!B510</f>
        <v>0</v>
      </c>
      <c r="T510">
        <f>'Metric Details'!C510</f>
        <v>0</v>
      </c>
      <c r="U510">
        <f>IF('Metric Details'!F510=$H$1,0,IF('Metric Details'!F510=$H$2,1,2))</f>
        <v>2</v>
      </c>
      <c r="V510">
        <f>LEN('Metric Details'!H510)</f>
        <v>0</v>
      </c>
      <c r="W510">
        <f t="shared" si="23"/>
        <v>2</v>
      </c>
      <c r="X510">
        <f t="shared" ca="1" si="24"/>
        <v>82</v>
      </c>
    </row>
    <row r="511" spans="18:24">
      <c r="R511">
        <f t="shared" ca="1" si="22"/>
        <v>1</v>
      </c>
      <c r="S511">
        <f>Metrics!B511</f>
        <v>0</v>
      </c>
      <c r="T511">
        <f>'Metric Details'!C511</f>
        <v>0</v>
      </c>
      <c r="U511">
        <f>IF('Metric Details'!F511=$H$1,0,IF('Metric Details'!F511=$H$2,1,2))</f>
        <v>2</v>
      </c>
      <c r="V511">
        <f>LEN('Metric Details'!H511)</f>
        <v>0</v>
      </c>
      <c r="W511">
        <f t="shared" si="23"/>
        <v>2</v>
      </c>
      <c r="X511">
        <f t="shared" ca="1" si="24"/>
        <v>82</v>
      </c>
    </row>
    <row r="512" spans="18:24">
      <c r="R512">
        <f t="shared" ca="1" si="22"/>
        <v>1</v>
      </c>
      <c r="S512">
        <f>Metrics!B512</f>
        <v>0</v>
      </c>
      <c r="T512">
        <f>'Metric Details'!C512</f>
        <v>0</v>
      </c>
      <c r="U512">
        <f>IF('Metric Details'!F512=$H$1,0,IF('Metric Details'!F512=$H$2,1,2))</f>
        <v>2</v>
      </c>
      <c r="V512">
        <f>LEN('Metric Details'!H512)</f>
        <v>0</v>
      </c>
      <c r="W512">
        <f t="shared" si="23"/>
        <v>2</v>
      </c>
      <c r="X512">
        <f t="shared" ca="1" si="24"/>
        <v>82</v>
      </c>
    </row>
    <row r="513" spans="18:24">
      <c r="R513">
        <f t="shared" ca="1" si="22"/>
        <v>1</v>
      </c>
      <c r="S513">
        <f>Metrics!B513</f>
        <v>0</v>
      </c>
      <c r="T513">
        <f>'Metric Details'!C513</f>
        <v>0</v>
      </c>
      <c r="U513">
        <f>IF('Metric Details'!F513=$H$1,0,IF('Metric Details'!F513=$H$2,1,2))</f>
        <v>2</v>
      </c>
      <c r="V513">
        <f>LEN('Metric Details'!H513)</f>
        <v>0</v>
      </c>
      <c r="W513">
        <f t="shared" si="23"/>
        <v>2</v>
      </c>
      <c r="X513">
        <f t="shared" ca="1" si="24"/>
        <v>82</v>
      </c>
    </row>
    <row r="514" spans="18:24">
      <c r="R514">
        <f t="shared" ca="1" si="22"/>
        <v>1</v>
      </c>
      <c r="S514">
        <f>Metrics!B514</f>
        <v>0</v>
      </c>
      <c r="T514">
        <f>'Metric Details'!C514</f>
        <v>0</v>
      </c>
      <c r="U514">
        <f>IF('Metric Details'!F514=$H$1,0,IF('Metric Details'!F514=$H$2,1,2))</f>
        <v>2</v>
      </c>
      <c r="V514">
        <f>LEN('Metric Details'!H514)</f>
        <v>0</v>
      </c>
      <c r="W514">
        <f t="shared" si="23"/>
        <v>2</v>
      </c>
      <c r="X514">
        <f t="shared" ca="1" si="24"/>
        <v>82</v>
      </c>
    </row>
    <row r="515" spans="18:24">
      <c r="R515">
        <f t="shared" ref="R515:R578" ca="1" si="25">IF(INDEX(W:W,X515)&gt;0,1,0)</f>
        <v>1</v>
      </c>
      <c r="S515">
        <f>Metrics!B515</f>
        <v>0</v>
      </c>
      <c r="T515">
        <f>'Metric Details'!C515</f>
        <v>0</v>
      </c>
      <c r="U515">
        <f>IF('Metric Details'!F515=$H$1,0,IF('Metric Details'!F515=$H$2,1,2))</f>
        <v>2</v>
      </c>
      <c r="V515">
        <f>LEN('Metric Details'!H515)</f>
        <v>0</v>
      </c>
      <c r="W515">
        <f t="shared" ref="W515:W578" si="26">IF(V515&gt;0,2,U515)</f>
        <v>2</v>
      </c>
      <c r="X515">
        <f t="shared" ca="1" si="24"/>
        <v>82</v>
      </c>
    </row>
    <row r="516" spans="18:24">
      <c r="R516">
        <f t="shared" ca="1" si="25"/>
        <v>1</v>
      </c>
      <c r="S516">
        <f>Metrics!B516</f>
        <v>0</v>
      </c>
      <c r="T516">
        <f>'Metric Details'!C516</f>
        <v>0</v>
      </c>
      <c r="U516">
        <f>IF('Metric Details'!F516=$H$1,0,IF('Metric Details'!F516=$H$2,1,2))</f>
        <v>2</v>
      </c>
      <c r="V516">
        <f>LEN('Metric Details'!H516)</f>
        <v>0</v>
      </c>
      <c r="W516">
        <f t="shared" si="26"/>
        <v>2</v>
      </c>
      <c r="X516">
        <f t="shared" ca="1" si="24"/>
        <v>82</v>
      </c>
    </row>
    <row r="517" spans="18:24">
      <c r="R517">
        <f t="shared" ca="1" si="25"/>
        <v>1</v>
      </c>
      <c r="S517">
        <f>Metrics!B517</f>
        <v>0</v>
      </c>
      <c r="T517">
        <f>'Metric Details'!C517</f>
        <v>0</v>
      </c>
      <c r="U517">
        <f>IF('Metric Details'!F517=$H$1,0,IF('Metric Details'!F517=$H$2,1,2))</f>
        <v>2</v>
      </c>
      <c r="V517">
        <f>LEN('Metric Details'!H517)</f>
        <v>0</v>
      </c>
      <c r="W517">
        <f t="shared" si="26"/>
        <v>2</v>
      </c>
      <c r="X517">
        <f t="shared" ca="1" si="24"/>
        <v>82</v>
      </c>
    </row>
    <row r="518" spans="18:24">
      <c r="R518">
        <f t="shared" ca="1" si="25"/>
        <v>1</v>
      </c>
      <c r="S518">
        <f>Metrics!B518</f>
        <v>0</v>
      </c>
      <c r="T518">
        <f>'Metric Details'!C518</f>
        <v>0</v>
      </c>
      <c r="U518">
        <f>IF('Metric Details'!F518=$H$1,0,IF('Metric Details'!F518=$H$2,1,2))</f>
        <v>2</v>
      </c>
      <c r="V518">
        <f>LEN('Metric Details'!H518)</f>
        <v>0</v>
      </c>
      <c r="W518">
        <f t="shared" si="26"/>
        <v>2</v>
      </c>
      <c r="X518">
        <f t="shared" ref="X518:X581" ca="1" si="27">ROW(INDIRECT(ADDRESS(MATCH(S518,T:T,0),COLUMN(T518),1)))</f>
        <v>82</v>
      </c>
    </row>
    <row r="519" spans="18:24">
      <c r="R519">
        <f t="shared" ca="1" si="25"/>
        <v>1</v>
      </c>
      <c r="S519">
        <f>Metrics!B519</f>
        <v>0</v>
      </c>
      <c r="T519">
        <f>'Metric Details'!C519</f>
        <v>0</v>
      </c>
      <c r="U519">
        <f>IF('Metric Details'!F519=$H$1,0,IF('Metric Details'!F519=$H$2,1,2))</f>
        <v>2</v>
      </c>
      <c r="V519">
        <f>LEN('Metric Details'!H519)</f>
        <v>0</v>
      </c>
      <c r="W519">
        <f t="shared" si="26"/>
        <v>2</v>
      </c>
      <c r="X519">
        <f t="shared" ca="1" si="27"/>
        <v>82</v>
      </c>
    </row>
    <row r="520" spans="18:24">
      <c r="R520">
        <f t="shared" ca="1" si="25"/>
        <v>1</v>
      </c>
      <c r="S520">
        <f>Metrics!B520</f>
        <v>0</v>
      </c>
      <c r="T520">
        <f>'Metric Details'!C520</f>
        <v>0</v>
      </c>
      <c r="U520">
        <f>IF('Metric Details'!F520=$H$1,0,IF('Metric Details'!F520=$H$2,1,2))</f>
        <v>2</v>
      </c>
      <c r="V520">
        <f>LEN('Metric Details'!H520)</f>
        <v>0</v>
      </c>
      <c r="W520">
        <f t="shared" si="26"/>
        <v>2</v>
      </c>
      <c r="X520">
        <f t="shared" ca="1" si="27"/>
        <v>82</v>
      </c>
    </row>
    <row r="521" spans="18:24">
      <c r="R521">
        <f t="shared" ca="1" si="25"/>
        <v>1</v>
      </c>
      <c r="S521">
        <f>Metrics!B521</f>
        <v>0</v>
      </c>
      <c r="T521">
        <f>'Metric Details'!C521</f>
        <v>0</v>
      </c>
      <c r="U521">
        <f>IF('Metric Details'!F521=$H$1,0,IF('Metric Details'!F521=$H$2,1,2))</f>
        <v>2</v>
      </c>
      <c r="V521">
        <f>LEN('Metric Details'!H521)</f>
        <v>0</v>
      </c>
      <c r="W521">
        <f t="shared" si="26"/>
        <v>2</v>
      </c>
      <c r="X521">
        <f t="shared" ca="1" si="27"/>
        <v>82</v>
      </c>
    </row>
    <row r="522" spans="18:24">
      <c r="R522">
        <f t="shared" ca="1" si="25"/>
        <v>1</v>
      </c>
      <c r="S522">
        <f>Metrics!B522</f>
        <v>0</v>
      </c>
      <c r="T522">
        <f>'Metric Details'!C522</f>
        <v>0</v>
      </c>
      <c r="U522">
        <f>IF('Metric Details'!F522=$H$1,0,IF('Metric Details'!F522=$H$2,1,2))</f>
        <v>2</v>
      </c>
      <c r="V522">
        <f>LEN('Metric Details'!H522)</f>
        <v>0</v>
      </c>
      <c r="W522">
        <f t="shared" si="26"/>
        <v>2</v>
      </c>
      <c r="X522">
        <f t="shared" ca="1" si="27"/>
        <v>82</v>
      </c>
    </row>
    <row r="523" spans="18:24">
      <c r="R523">
        <f t="shared" ca="1" si="25"/>
        <v>1</v>
      </c>
      <c r="S523">
        <f>Metrics!B523</f>
        <v>0</v>
      </c>
      <c r="T523">
        <f>'Metric Details'!C523</f>
        <v>0</v>
      </c>
      <c r="U523">
        <f>IF('Metric Details'!F523=$H$1,0,IF('Metric Details'!F523=$H$2,1,2))</f>
        <v>2</v>
      </c>
      <c r="V523">
        <f>LEN('Metric Details'!H523)</f>
        <v>0</v>
      </c>
      <c r="W523">
        <f t="shared" si="26"/>
        <v>2</v>
      </c>
      <c r="X523">
        <f t="shared" ca="1" si="27"/>
        <v>82</v>
      </c>
    </row>
    <row r="524" spans="18:24">
      <c r="R524">
        <f t="shared" ca="1" si="25"/>
        <v>1</v>
      </c>
      <c r="S524">
        <f>Metrics!B524</f>
        <v>0</v>
      </c>
      <c r="T524">
        <f>'Metric Details'!C524</f>
        <v>0</v>
      </c>
      <c r="U524">
        <f>IF('Metric Details'!F524=$H$1,0,IF('Metric Details'!F524=$H$2,1,2))</f>
        <v>2</v>
      </c>
      <c r="V524">
        <f>LEN('Metric Details'!H524)</f>
        <v>0</v>
      </c>
      <c r="W524">
        <f t="shared" si="26"/>
        <v>2</v>
      </c>
      <c r="X524">
        <f t="shared" ca="1" si="27"/>
        <v>82</v>
      </c>
    </row>
    <row r="525" spans="18:24">
      <c r="R525">
        <f t="shared" ca="1" si="25"/>
        <v>1</v>
      </c>
      <c r="S525">
        <f>Metrics!B525</f>
        <v>0</v>
      </c>
      <c r="T525">
        <f>'Metric Details'!C525</f>
        <v>0</v>
      </c>
      <c r="U525">
        <f>IF('Metric Details'!F525=$H$1,0,IF('Metric Details'!F525=$H$2,1,2))</f>
        <v>2</v>
      </c>
      <c r="V525">
        <f>LEN('Metric Details'!H525)</f>
        <v>0</v>
      </c>
      <c r="W525">
        <f t="shared" si="26"/>
        <v>2</v>
      </c>
      <c r="X525">
        <f t="shared" ca="1" si="27"/>
        <v>82</v>
      </c>
    </row>
    <row r="526" spans="18:24">
      <c r="R526">
        <f t="shared" ca="1" si="25"/>
        <v>1</v>
      </c>
      <c r="S526">
        <f>Metrics!B526</f>
        <v>0</v>
      </c>
      <c r="T526">
        <f>'Metric Details'!C526</f>
        <v>0</v>
      </c>
      <c r="U526">
        <f>IF('Metric Details'!F526=$H$1,0,IF('Metric Details'!F526=$H$2,1,2))</f>
        <v>2</v>
      </c>
      <c r="V526">
        <f>LEN('Metric Details'!H526)</f>
        <v>0</v>
      </c>
      <c r="W526">
        <f t="shared" si="26"/>
        <v>2</v>
      </c>
      <c r="X526">
        <f t="shared" ca="1" si="27"/>
        <v>82</v>
      </c>
    </row>
    <row r="527" spans="18:24">
      <c r="R527">
        <f t="shared" ca="1" si="25"/>
        <v>1</v>
      </c>
      <c r="S527">
        <f>Metrics!B527</f>
        <v>0</v>
      </c>
      <c r="T527">
        <f>'Metric Details'!C527</f>
        <v>0</v>
      </c>
      <c r="U527">
        <f>IF('Metric Details'!F527=$H$1,0,IF('Metric Details'!F527=$H$2,1,2))</f>
        <v>2</v>
      </c>
      <c r="V527">
        <f>LEN('Metric Details'!H527)</f>
        <v>0</v>
      </c>
      <c r="W527">
        <f t="shared" si="26"/>
        <v>2</v>
      </c>
      <c r="X527">
        <f t="shared" ca="1" si="27"/>
        <v>82</v>
      </c>
    </row>
    <row r="528" spans="18:24">
      <c r="R528">
        <f t="shared" ca="1" si="25"/>
        <v>1</v>
      </c>
      <c r="S528">
        <f>Metrics!B528</f>
        <v>0</v>
      </c>
      <c r="T528">
        <f>'Metric Details'!C528</f>
        <v>0</v>
      </c>
      <c r="U528">
        <f>IF('Metric Details'!F528=$H$1,0,IF('Metric Details'!F528=$H$2,1,2))</f>
        <v>2</v>
      </c>
      <c r="V528">
        <f>LEN('Metric Details'!H528)</f>
        <v>0</v>
      </c>
      <c r="W528">
        <f t="shared" si="26"/>
        <v>2</v>
      </c>
      <c r="X528">
        <f t="shared" ca="1" si="27"/>
        <v>82</v>
      </c>
    </row>
    <row r="529" spans="18:24">
      <c r="R529">
        <f t="shared" ca="1" si="25"/>
        <v>1</v>
      </c>
      <c r="S529">
        <f>Metrics!B529</f>
        <v>0</v>
      </c>
      <c r="T529">
        <f>'Metric Details'!C529</f>
        <v>0</v>
      </c>
      <c r="U529">
        <f>IF('Metric Details'!F529=$H$1,0,IF('Metric Details'!F529=$H$2,1,2))</f>
        <v>2</v>
      </c>
      <c r="V529">
        <f>LEN('Metric Details'!H529)</f>
        <v>0</v>
      </c>
      <c r="W529">
        <f t="shared" si="26"/>
        <v>2</v>
      </c>
      <c r="X529">
        <f t="shared" ca="1" si="27"/>
        <v>82</v>
      </c>
    </row>
    <row r="530" spans="18:24">
      <c r="R530">
        <f t="shared" ca="1" si="25"/>
        <v>1</v>
      </c>
      <c r="S530">
        <f>Metrics!B530</f>
        <v>0</v>
      </c>
      <c r="T530">
        <f>'Metric Details'!C530</f>
        <v>0</v>
      </c>
      <c r="U530">
        <f>IF('Metric Details'!F530=$H$1,0,IF('Metric Details'!F530=$H$2,1,2))</f>
        <v>2</v>
      </c>
      <c r="V530">
        <f>LEN('Metric Details'!H530)</f>
        <v>0</v>
      </c>
      <c r="W530">
        <f t="shared" si="26"/>
        <v>2</v>
      </c>
      <c r="X530">
        <f t="shared" ca="1" si="27"/>
        <v>82</v>
      </c>
    </row>
    <row r="531" spans="18:24">
      <c r="R531">
        <f t="shared" ca="1" si="25"/>
        <v>1</v>
      </c>
      <c r="S531">
        <f>Metrics!B531</f>
        <v>0</v>
      </c>
      <c r="T531">
        <f>'Metric Details'!C531</f>
        <v>0</v>
      </c>
      <c r="U531">
        <f>IF('Metric Details'!F531=$H$1,0,IF('Metric Details'!F531=$H$2,1,2))</f>
        <v>2</v>
      </c>
      <c r="V531">
        <f>LEN('Metric Details'!H531)</f>
        <v>0</v>
      </c>
      <c r="W531">
        <f t="shared" si="26"/>
        <v>2</v>
      </c>
      <c r="X531">
        <f t="shared" ca="1" si="27"/>
        <v>82</v>
      </c>
    </row>
    <row r="532" spans="18:24">
      <c r="R532">
        <f t="shared" ca="1" si="25"/>
        <v>1</v>
      </c>
      <c r="S532">
        <f>Metrics!B532</f>
        <v>0</v>
      </c>
      <c r="T532">
        <f>'Metric Details'!C532</f>
        <v>0</v>
      </c>
      <c r="U532">
        <f>IF('Metric Details'!F532=$H$1,0,IF('Metric Details'!F532=$H$2,1,2))</f>
        <v>2</v>
      </c>
      <c r="V532">
        <f>LEN('Metric Details'!H532)</f>
        <v>0</v>
      </c>
      <c r="W532">
        <f t="shared" si="26"/>
        <v>2</v>
      </c>
      <c r="X532">
        <f t="shared" ca="1" si="27"/>
        <v>82</v>
      </c>
    </row>
    <row r="533" spans="18:24">
      <c r="R533">
        <f t="shared" ca="1" si="25"/>
        <v>1</v>
      </c>
      <c r="S533">
        <f>Metrics!B533</f>
        <v>0</v>
      </c>
      <c r="T533">
        <f>'Metric Details'!C533</f>
        <v>0</v>
      </c>
      <c r="U533">
        <f>IF('Metric Details'!F533=$H$1,0,IF('Metric Details'!F533=$H$2,1,2))</f>
        <v>2</v>
      </c>
      <c r="V533">
        <f>LEN('Metric Details'!H533)</f>
        <v>0</v>
      </c>
      <c r="W533">
        <f t="shared" si="26"/>
        <v>2</v>
      </c>
      <c r="X533">
        <f t="shared" ca="1" si="27"/>
        <v>82</v>
      </c>
    </row>
    <row r="534" spans="18:24">
      <c r="R534">
        <f t="shared" ca="1" si="25"/>
        <v>1</v>
      </c>
      <c r="S534">
        <f>Metrics!B534</f>
        <v>0</v>
      </c>
      <c r="T534">
        <f>'Metric Details'!C534</f>
        <v>0</v>
      </c>
      <c r="U534">
        <f>IF('Metric Details'!F534=$H$1,0,IF('Metric Details'!F534=$H$2,1,2))</f>
        <v>2</v>
      </c>
      <c r="V534">
        <f>LEN('Metric Details'!H534)</f>
        <v>0</v>
      </c>
      <c r="W534">
        <f t="shared" si="26"/>
        <v>2</v>
      </c>
      <c r="X534">
        <f t="shared" ca="1" si="27"/>
        <v>82</v>
      </c>
    </row>
    <row r="535" spans="18:24">
      <c r="R535">
        <f t="shared" ca="1" si="25"/>
        <v>1</v>
      </c>
      <c r="S535">
        <f>Metrics!B535</f>
        <v>0</v>
      </c>
      <c r="T535">
        <f>'Metric Details'!C535</f>
        <v>0</v>
      </c>
      <c r="U535">
        <f>IF('Metric Details'!F535=$H$1,0,IF('Metric Details'!F535=$H$2,1,2))</f>
        <v>2</v>
      </c>
      <c r="V535">
        <f>LEN('Metric Details'!H535)</f>
        <v>0</v>
      </c>
      <c r="W535">
        <f t="shared" si="26"/>
        <v>2</v>
      </c>
      <c r="X535">
        <f t="shared" ca="1" si="27"/>
        <v>82</v>
      </c>
    </row>
    <row r="536" spans="18:24">
      <c r="R536">
        <f t="shared" ca="1" si="25"/>
        <v>1</v>
      </c>
      <c r="S536">
        <f>Metrics!B536</f>
        <v>0</v>
      </c>
      <c r="T536">
        <f>'Metric Details'!C536</f>
        <v>0</v>
      </c>
      <c r="U536">
        <f>IF('Metric Details'!F536=$H$1,0,IF('Metric Details'!F536=$H$2,1,2))</f>
        <v>2</v>
      </c>
      <c r="V536">
        <f>LEN('Metric Details'!H536)</f>
        <v>0</v>
      </c>
      <c r="W536">
        <f t="shared" si="26"/>
        <v>2</v>
      </c>
      <c r="X536">
        <f t="shared" ca="1" si="27"/>
        <v>82</v>
      </c>
    </row>
    <row r="537" spans="18:24">
      <c r="R537">
        <f t="shared" ca="1" si="25"/>
        <v>1</v>
      </c>
      <c r="S537">
        <f>Metrics!B537</f>
        <v>0</v>
      </c>
      <c r="T537">
        <f>'Metric Details'!C537</f>
        <v>0</v>
      </c>
      <c r="U537">
        <f>IF('Metric Details'!F537=$H$1,0,IF('Metric Details'!F537=$H$2,1,2))</f>
        <v>2</v>
      </c>
      <c r="V537">
        <f>LEN('Metric Details'!H537)</f>
        <v>0</v>
      </c>
      <c r="W537">
        <f t="shared" si="26"/>
        <v>2</v>
      </c>
      <c r="X537">
        <f t="shared" ca="1" si="27"/>
        <v>82</v>
      </c>
    </row>
    <row r="538" spans="18:24">
      <c r="R538">
        <f t="shared" ca="1" si="25"/>
        <v>1</v>
      </c>
      <c r="S538">
        <f>Metrics!B538</f>
        <v>0</v>
      </c>
      <c r="T538">
        <f>'Metric Details'!C538</f>
        <v>0</v>
      </c>
      <c r="U538">
        <f>IF('Metric Details'!F538=$H$1,0,IF('Metric Details'!F538=$H$2,1,2))</f>
        <v>2</v>
      </c>
      <c r="V538">
        <f>LEN('Metric Details'!H538)</f>
        <v>0</v>
      </c>
      <c r="W538">
        <f t="shared" si="26"/>
        <v>2</v>
      </c>
      <c r="X538">
        <f t="shared" ca="1" si="27"/>
        <v>82</v>
      </c>
    </row>
    <row r="539" spans="18:24">
      <c r="R539">
        <f t="shared" ca="1" si="25"/>
        <v>1</v>
      </c>
      <c r="S539">
        <f>Metrics!B539</f>
        <v>0</v>
      </c>
      <c r="T539">
        <f>'Metric Details'!C539</f>
        <v>0</v>
      </c>
      <c r="U539">
        <f>IF('Metric Details'!F539=$H$1,0,IF('Metric Details'!F539=$H$2,1,2))</f>
        <v>2</v>
      </c>
      <c r="V539">
        <f>LEN('Metric Details'!H539)</f>
        <v>0</v>
      </c>
      <c r="W539">
        <f t="shared" si="26"/>
        <v>2</v>
      </c>
      <c r="X539">
        <f t="shared" ca="1" si="27"/>
        <v>82</v>
      </c>
    </row>
    <row r="540" spans="18:24">
      <c r="R540">
        <f t="shared" ca="1" si="25"/>
        <v>1</v>
      </c>
      <c r="S540">
        <f>Metrics!B540</f>
        <v>0</v>
      </c>
      <c r="T540">
        <f>'Metric Details'!C540</f>
        <v>0</v>
      </c>
      <c r="U540">
        <f>IF('Metric Details'!F540=$H$1,0,IF('Metric Details'!F540=$H$2,1,2))</f>
        <v>2</v>
      </c>
      <c r="V540">
        <f>LEN('Metric Details'!H540)</f>
        <v>0</v>
      </c>
      <c r="W540">
        <f t="shared" si="26"/>
        <v>2</v>
      </c>
      <c r="X540">
        <f t="shared" ca="1" si="27"/>
        <v>82</v>
      </c>
    </row>
    <row r="541" spans="18:24">
      <c r="R541">
        <f t="shared" ca="1" si="25"/>
        <v>1</v>
      </c>
      <c r="S541">
        <f>Metrics!B541</f>
        <v>0</v>
      </c>
      <c r="T541">
        <f>'Metric Details'!C541</f>
        <v>0</v>
      </c>
      <c r="U541">
        <f>IF('Metric Details'!F541=$H$1,0,IF('Metric Details'!F541=$H$2,1,2))</f>
        <v>2</v>
      </c>
      <c r="V541">
        <f>LEN('Metric Details'!H541)</f>
        <v>0</v>
      </c>
      <c r="W541">
        <f t="shared" si="26"/>
        <v>2</v>
      </c>
      <c r="X541">
        <f t="shared" ca="1" si="27"/>
        <v>82</v>
      </c>
    </row>
    <row r="542" spans="18:24">
      <c r="R542">
        <f t="shared" ca="1" si="25"/>
        <v>1</v>
      </c>
      <c r="S542">
        <f>Metrics!B542</f>
        <v>0</v>
      </c>
      <c r="T542">
        <f>'Metric Details'!C542</f>
        <v>0</v>
      </c>
      <c r="U542">
        <f>IF('Metric Details'!F542=$H$1,0,IF('Metric Details'!F542=$H$2,1,2))</f>
        <v>2</v>
      </c>
      <c r="V542">
        <f>LEN('Metric Details'!H542)</f>
        <v>0</v>
      </c>
      <c r="W542">
        <f t="shared" si="26"/>
        <v>2</v>
      </c>
      <c r="X542">
        <f t="shared" ca="1" si="27"/>
        <v>82</v>
      </c>
    </row>
    <row r="543" spans="18:24">
      <c r="R543">
        <f t="shared" ca="1" si="25"/>
        <v>1</v>
      </c>
      <c r="S543">
        <f>Metrics!B543</f>
        <v>0</v>
      </c>
      <c r="T543">
        <f>'Metric Details'!C543</f>
        <v>0</v>
      </c>
      <c r="U543">
        <f>IF('Metric Details'!F543=$H$1,0,IF('Metric Details'!F543=$H$2,1,2))</f>
        <v>2</v>
      </c>
      <c r="V543">
        <f>LEN('Metric Details'!H543)</f>
        <v>0</v>
      </c>
      <c r="W543">
        <f t="shared" si="26"/>
        <v>2</v>
      </c>
      <c r="X543">
        <f t="shared" ca="1" si="27"/>
        <v>82</v>
      </c>
    </row>
    <row r="544" spans="18:24">
      <c r="R544">
        <f t="shared" ca="1" si="25"/>
        <v>1</v>
      </c>
      <c r="S544">
        <f>Metrics!B544</f>
        <v>0</v>
      </c>
      <c r="T544">
        <f>'Metric Details'!C544</f>
        <v>0</v>
      </c>
      <c r="U544">
        <f>IF('Metric Details'!F544=$H$1,0,IF('Metric Details'!F544=$H$2,1,2))</f>
        <v>2</v>
      </c>
      <c r="V544">
        <f>LEN('Metric Details'!H544)</f>
        <v>0</v>
      </c>
      <c r="W544">
        <f t="shared" si="26"/>
        <v>2</v>
      </c>
      <c r="X544">
        <f t="shared" ca="1" si="27"/>
        <v>82</v>
      </c>
    </row>
    <row r="545" spans="18:24">
      <c r="R545">
        <f t="shared" ca="1" si="25"/>
        <v>1</v>
      </c>
      <c r="S545">
        <f>Metrics!B545</f>
        <v>0</v>
      </c>
      <c r="T545">
        <f>'Metric Details'!C545</f>
        <v>0</v>
      </c>
      <c r="U545">
        <f>IF('Metric Details'!F545=$H$1,0,IF('Metric Details'!F545=$H$2,1,2))</f>
        <v>2</v>
      </c>
      <c r="V545">
        <f>LEN('Metric Details'!H545)</f>
        <v>0</v>
      </c>
      <c r="W545">
        <f t="shared" si="26"/>
        <v>2</v>
      </c>
      <c r="X545">
        <f t="shared" ca="1" si="27"/>
        <v>82</v>
      </c>
    </row>
    <row r="546" spans="18:24">
      <c r="R546">
        <f t="shared" ca="1" si="25"/>
        <v>1</v>
      </c>
      <c r="S546">
        <f>Metrics!B546</f>
        <v>0</v>
      </c>
      <c r="T546">
        <f>'Metric Details'!C546</f>
        <v>0</v>
      </c>
      <c r="U546">
        <f>IF('Metric Details'!F546=$H$1,0,IF('Metric Details'!F546=$H$2,1,2))</f>
        <v>2</v>
      </c>
      <c r="V546">
        <f>LEN('Metric Details'!H546)</f>
        <v>0</v>
      </c>
      <c r="W546">
        <f t="shared" si="26"/>
        <v>2</v>
      </c>
      <c r="X546">
        <f t="shared" ca="1" si="27"/>
        <v>82</v>
      </c>
    </row>
    <row r="547" spans="18:24">
      <c r="R547">
        <f t="shared" ca="1" si="25"/>
        <v>1</v>
      </c>
      <c r="S547">
        <f>Metrics!B547</f>
        <v>0</v>
      </c>
      <c r="T547">
        <f>'Metric Details'!C547</f>
        <v>0</v>
      </c>
      <c r="U547">
        <f>IF('Metric Details'!F547=$H$1,0,IF('Metric Details'!F547=$H$2,1,2))</f>
        <v>2</v>
      </c>
      <c r="V547">
        <f>LEN('Metric Details'!H547)</f>
        <v>0</v>
      </c>
      <c r="W547">
        <f t="shared" si="26"/>
        <v>2</v>
      </c>
      <c r="X547">
        <f t="shared" ca="1" si="27"/>
        <v>82</v>
      </c>
    </row>
    <row r="548" spans="18:24">
      <c r="R548">
        <f t="shared" ca="1" si="25"/>
        <v>1</v>
      </c>
      <c r="S548">
        <f>Metrics!B548</f>
        <v>0</v>
      </c>
      <c r="T548">
        <f>'Metric Details'!C548</f>
        <v>0</v>
      </c>
      <c r="U548">
        <f>IF('Metric Details'!F548=$H$1,0,IF('Metric Details'!F548=$H$2,1,2))</f>
        <v>2</v>
      </c>
      <c r="V548">
        <f>LEN('Metric Details'!H548)</f>
        <v>0</v>
      </c>
      <c r="W548">
        <f t="shared" si="26"/>
        <v>2</v>
      </c>
      <c r="X548">
        <f t="shared" ca="1" si="27"/>
        <v>82</v>
      </c>
    </row>
    <row r="549" spans="18:24">
      <c r="R549">
        <f t="shared" ca="1" si="25"/>
        <v>1</v>
      </c>
      <c r="S549">
        <f>Metrics!B549</f>
        <v>0</v>
      </c>
      <c r="T549">
        <f>'Metric Details'!C549</f>
        <v>0</v>
      </c>
      <c r="U549">
        <f>IF('Metric Details'!F549=$H$1,0,IF('Metric Details'!F549=$H$2,1,2))</f>
        <v>2</v>
      </c>
      <c r="V549">
        <f>LEN('Metric Details'!H549)</f>
        <v>0</v>
      </c>
      <c r="W549">
        <f t="shared" si="26"/>
        <v>2</v>
      </c>
      <c r="X549">
        <f t="shared" ca="1" si="27"/>
        <v>82</v>
      </c>
    </row>
    <row r="550" spans="18:24">
      <c r="R550">
        <f t="shared" ca="1" si="25"/>
        <v>1</v>
      </c>
      <c r="S550">
        <f>Metrics!B550</f>
        <v>0</v>
      </c>
      <c r="T550">
        <f>'Metric Details'!C550</f>
        <v>0</v>
      </c>
      <c r="U550">
        <f>IF('Metric Details'!F550=$H$1,0,IF('Metric Details'!F550=$H$2,1,2))</f>
        <v>2</v>
      </c>
      <c r="V550">
        <f>LEN('Metric Details'!H550)</f>
        <v>0</v>
      </c>
      <c r="W550">
        <f t="shared" si="26"/>
        <v>2</v>
      </c>
      <c r="X550">
        <f t="shared" ca="1" si="27"/>
        <v>82</v>
      </c>
    </row>
    <row r="551" spans="18:24">
      <c r="R551">
        <f t="shared" ca="1" si="25"/>
        <v>1</v>
      </c>
      <c r="S551">
        <f>Metrics!B551</f>
        <v>0</v>
      </c>
      <c r="T551">
        <f>'Metric Details'!C551</f>
        <v>0</v>
      </c>
      <c r="U551">
        <f>IF('Metric Details'!F551=$H$1,0,IF('Metric Details'!F551=$H$2,1,2))</f>
        <v>2</v>
      </c>
      <c r="V551">
        <f>LEN('Metric Details'!H551)</f>
        <v>0</v>
      </c>
      <c r="W551">
        <f t="shared" si="26"/>
        <v>2</v>
      </c>
      <c r="X551">
        <f t="shared" ca="1" si="27"/>
        <v>82</v>
      </c>
    </row>
    <row r="552" spans="18:24">
      <c r="R552">
        <f t="shared" ca="1" si="25"/>
        <v>1</v>
      </c>
      <c r="S552">
        <f>Metrics!B552</f>
        <v>0</v>
      </c>
      <c r="T552">
        <f>'Metric Details'!C552</f>
        <v>0</v>
      </c>
      <c r="U552">
        <f>IF('Metric Details'!F552=$H$1,0,IF('Metric Details'!F552=$H$2,1,2))</f>
        <v>2</v>
      </c>
      <c r="V552">
        <f>LEN('Metric Details'!H552)</f>
        <v>0</v>
      </c>
      <c r="W552">
        <f t="shared" si="26"/>
        <v>2</v>
      </c>
      <c r="X552">
        <f t="shared" ca="1" si="27"/>
        <v>82</v>
      </c>
    </row>
    <row r="553" spans="18:24">
      <c r="R553">
        <f t="shared" ca="1" si="25"/>
        <v>1</v>
      </c>
      <c r="S553">
        <f>Metrics!B553</f>
        <v>0</v>
      </c>
      <c r="T553">
        <f>'Metric Details'!C553</f>
        <v>0</v>
      </c>
      <c r="U553">
        <f>IF('Metric Details'!F553=$H$1,0,IF('Metric Details'!F553=$H$2,1,2))</f>
        <v>2</v>
      </c>
      <c r="V553">
        <f>LEN('Metric Details'!H553)</f>
        <v>0</v>
      </c>
      <c r="W553">
        <f t="shared" si="26"/>
        <v>2</v>
      </c>
      <c r="X553">
        <f t="shared" ca="1" si="27"/>
        <v>82</v>
      </c>
    </row>
    <row r="554" spans="18:24">
      <c r="R554">
        <f t="shared" ca="1" si="25"/>
        <v>1</v>
      </c>
      <c r="S554">
        <f>Metrics!B554</f>
        <v>0</v>
      </c>
      <c r="T554">
        <f>'Metric Details'!C554</f>
        <v>0</v>
      </c>
      <c r="U554">
        <f>IF('Metric Details'!F554=$H$1,0,IF('Metric Details'!F554=$H$2,1,2))</f>
        <v>2</v>
      </c>
      <c r="V554">
        <f>LEN('Metric Details'!H554)</f>
        <v>0</v>
      </c>
      <c r="W554">
        <f t="shared" si="26"/>
        <v>2</v>
      </c>
      <c r="X554">
        <f t="shared" ca="1" si="27"/>
        <v>82</v>
      </c>
    </row>
    <row r="555" spans="18:24">
      <c r="R555">
        <f t="shared" ca="1" si="25"/>
        <v>1</v>
      </c>
      <c r="S555">
        <f>Metrics!B555</f>
        <v>0</v>
      </c>
      <c r="T555">
        <f>'Metric Details'!C555</f>
        <v>0</v>
      </c>
      <c r="U555">
        <f>IF('Metric Details'!F555=$H$1,0,IF('Metric Details'!F555=$H$2,1,2))</f>
        <v>2</v>
      </c>
      <c r="V555">
        <f>LEN('Metric Details'!H555)</f>
        <v>0</v>
      </c>
      <c r="W555">
        <f t="shared" si="26"/>
        <v>2</v>
      </c>
      <c r="X555">
        <f t="shared" ca="1" si="27"/>
        <v>82</v>
      </c>
    </row>
    <row r="556" spans="18:24">
      <c r="R556">
        <f t="shared" ca="1" si="25"/>
        <v>1</v>
      </c>
      <c r="S556">
        <f>Metrics!B556</f>
        <v>0</v>
      </c>
      <c r="T556">
        <f>'Metric Details'!C556</f>
        <v>0</v>
      </c>
      <c r="U556">
        <f>IF('Metric Details'!F556=$H$1,0,IF('Metric Details'!F556=$H$2,1,2))</f>
        <v>2</v>
      </c>
      <c r="V556">
        <f>LEN('Metric Details'!H556)</f>
        <v>0</v>
      </c>
      <c r="W556">
        <f t="shared" si="26"/>
        <v>2</v>
      </c>
      <c r="X556">
        <f t="shared" ca="1" si="27"/>
        <v>82</v>
      </c>
    </row>
    <row r="557" spans="18:24">
      <c r="R557">
        <f t="shared" ca="1" si="25"/>
        <v>1</v>
      </c>
      <c r="S557">
        <f>Metrics!B557</f>
        <v>0</v>
      </c>
      <c r="T557">
        <f>'Metric Details'!C557</f>
        <v>0</v>
      </c>
      <c r="U557">
        <f>IF('Metric Details'!F557=$H$1,0,IF('Metric Details'!F557=$H$2,1,2))</f>
        <v>2</v>
      </c>
      <c r="V557">
        <f>LEN('Metric Details'!H557)</f>
        <v>0</v>
      </c>
      <c r="W557">
        <f t="shared" si="26"/>
        <v>2</v>
      </c>
      <c r="X557">
        <f t="shared" ca="1" si="27"/>
        <v>82</v>
      </c>
    </row>
    <row r="558" spans="18:24">
      <c r="R558">
        <f t="shared" ca="1" si="25"/>
        <v>1</v>
      </c>
      <c r="S558">
        <f>Metrics!B558</f>
        <v>0</v>
      </c>
      <c r="T558">
        <f>'Metric Details'!C558</f>
        <v>0</v>
      </c>
      <c r="U558">
        <f>IF('Metric Details'!F558=$H$1,0,IF('Metric Details'!F558=$H$2,1,2))</f>
        <v>2</v>
      </c>
      <c r="V558">
        <f>LEN('Metric Details'!H558)</f>
        <v>0</v>
      </c>
      <c r="W558">
        <f t="shared" si="26"/>
        <v>2</v>
      </c>
      <c r="X558">
        <f t="shared" ca="1" si="27"/>
        <v>82</v>
      </c>
    </row>
    <row r="559" spans="18:24">
      <c r="R559">
        <f t="shared" ca="1" si="25"/>
        <v>1</v>
      </c>
      <c r="S559">
        <f>Metrics!B559</f>
        <v>0</v>
      </c>
      <c r="T559">
        <f>'Metric Details'!C559</f>
        <v>0</v>
      </c>
      <c r="U559">
        <f>IF('Metric Details'!F559=$H$1,0,IF('Metric Details'!F559=$H$2,1,2))</f>
        <v>2</v>
      </c>
      <c r="V559">
        <f>LEN('Metric Details'!H559)</f>
        <v>0</v>
      </c>
      <c r="W559">
        <f t="shared" si="26"/>
        <v>2</v>
      </c>
      <c r="X559">
        <f t="shared" ca="1" si="27"/>
        <v>82</v>
      </c>
    </row>
    <row r="560" spans="18:24">
      <c r="R560">
        <f t="shared" ca="1" si="25"/>
        <v>1</v>
      </c>
      <c r="S560">
        <f>Metrics!B560</f>
        <v>0</v>
      </c>
      <c r="T560">
        <f>'Metric Details'!C560</f>
        <v>0</v>
      </c>
      <c r="U560">
        <f>IF('Metric Details'!F560=$H$1,0,IF('Metric Details'!F560=$H$2,1,2))</f>
        <v>2</v>
      </c>
      <c r="V560">
        <f>LEN('Metric Details'!H560)</f>
        <v>0</v>
      </c>
      <c r="W560">
        <f t="shared" si="26"/>
        <v>2</v>
      </c>
      <c r="X560">
        <f t="shared" ca="1" si="27"/>
        <v>82</v>
      </c>
    </row>
    <row r="561" spans="18:24">
      <c r="R561">
        <f t="shared" ca="1" si="25"/>
        <v>1</v>
      </c>
      <c r="S561">
        <f>Metrics!B561</f>
        <v>0</v>
      </c>
      <c r="T561">
        <f>'Metric Details'!C561</f>
        <v>0</v>
      </c>
      <c r="U561">
        <f>IF('Metric Details'!F561=$H$1,0,IF('Metric Details'!F561=$H$2,1,2))</f>
        <v>2</v>
      </c>
      <c r="V561">
        <f>LEN('Metric Details'!H561)</f>
        <v>0</v>
      </c>
      <c r="W561">
        <f t="shared" si="26"/>
        <v>2</v>
      </c>
      <c r="X561">
        <f t="shared" ca="1" si="27"/>
        <v>82</v>
      </c>
    </row>
    <row r="562" spans="18:24">
      <c r="R562">
        <f t="shared" ca="1" si="25"/>
        <v>1</v>
      </c>
      <c r="S562">
        <f>Metrics!B562</f>
        <v>0</v>
      </c>
      <c r="T562">
        <f>'Metric Details'!C562</f>
        <v>0</v>
      </c>
      <c r="U562">
        <f>IF('Metric Details'!F562=$H$1,0,IF('Metric Details'!F562=$H$2,1,2))</f>
        <v>2</v>
      </c>
      <c r="V562">
        <f>LEN('Metric Details'!H562)</f>
        <v>0</v>
      </c>
      <c r="W562">
        <f t="shared" si="26"/>
        <v>2</v>
      </c>
      <c r="X562">
        <f t="shared" ca="1" si="27"/>
        <v>82</v>
      </c>
    </row>
    <row r="563" spans="18:24">
      <c r="R563">
        <f t="shared" ca="1" si="25"/>
        <v>1</v>
      </c>
      <c r="S563">
        <f>Metrics!B563</f>
        <v>0</v>
      </c>
      <c r="T563">
        <f>'Metric Details'!C563</f>
        <v>0</v>
      </c>
      <c r="U563">
        <f>IF('Metric Details'!F563=$H$1,0,IF('Metric Details'!F563=$H$2,1,2))</f>
        <v>2</v>
      </c>
      <c r="V563">
        <f>LEN('Metric Details'!H563)</f>
        <v>0</v>
      </c>
      <c r="W563">
        <f t="shared" si="26"/>
        <v>2</v>
      </c>
      <c r="X563">
        <f t="shared" ca="1" si="27"/>
        <v>82</v>
      </c>
    </row>
    <row r="564" spans="18:24">
      <c r="R564">
        <f t="shared" ca="1" si="25"/>
        <v>1</v>
      </c>
      <c r="S564">
        <f>Metrics!B564</f>
        <v>0</v>
      </c>
      <c r="T564">
        <f>'Metric Details'!C564</f>
        <v>0</v>
      </c>
      <c r="U564">
        <f>IF('Metric Details'!F564=$H$1,0,IF('Metric Details'!F564=$H$2,1,2))</f>
        <v>2</v>
      </c>
      <c r="V564">
        <f>LEN('Metric Details'!H564)</f>
        <v>0</v>
      </c>
      <c r="W564">
        <f t="shared" si="26"/>
        <v>2</v>
      </c>
      <c r="X564">
        <f t="shared" ca="1" si="27"/>
        <v>82</v>
      </c>
    </row>
    <row r="565" spans="18:24">
      <c r="R565">
        <f t="shared" ca="1" si="25"/>
        <v>1</v>
      </c>
      <c r="S565">
        <f>Metrics!B565</f>
        <v>0</v>
      </c>
      <c r="T565">
        <f>'Metric Details'!C565</f>
        <v>0</v>
      </c>
      <c r="U565">
        <f>IF('Metric Details'!F565=$H$1,0,IF('Metric Details'!F565=$H$2,1,2))</f>
        <v>2</v>
      </c>
      <c r="V565">
        <f>LEN('Metric Details'!H565)</f>
        <v>0</v>
      </c>
      <c r="W565">
        <f t="shared" si="26"/>
        <v>2</v>
      </c>
      <c r="X565">
        <f t="shared" ca="1" si="27"/>
        <v>82</v>
      </c>
    </row>
    <row r="566" spans="18:24">
      <c r="R566">
        <f t="shared" ca="1" si="25"/>
        <v>1</v>
      </c>
      <c r="S566">
        <f>Metrics!B566</f>
        <v>0</v>
      </c>
      <c r="T566">
        <f>'Metric Details'!C566</f>
        <v>0</v>
      </c>
      <c r="U566">
        <f>IF('Metric Details'!F566=$H$1,0,IF('Metric Details'!F566=$H$2,1,2))</f>
        <v>2</v>
      </c>
      <c r="V566">
        <f>LEN('Metric Details'!H566)</f>
        <v>0</v>
      </c>
      <c r="W566">
        <f t="shared" si="26"/>
        <v>2</v>
      </c>
      <c r="X566">
        <f t="shared" ca="1" si="27"/>
        <v>82</v>
      </c>
    </row>
    <row r="567" spans="18:24">
      <c r="R567">
        <f t="shared" ca="1" si="25"/>
        <v>1</v>
      </c>
      <c r="S567">
        <f>Metrics!B567</f>
        <v>0</v>
      </c>
      <c r="T567">
        <f>'Metric Details'!C567</f>
        <v>0</v>
      </c>
      <c r="U567">
        <f>IF('Metric Details'!F567=$H$1,0,IF('Metric Details'!F567=$H$2,1,2))</f>
        <v>2</v>
      </c>
      <c r="V567">
        <f>LEN('Metric Details'!H567)</f>
        <v>0</v>
      </c>
      <c r="W567">
        <f t="shared" si="26"/>
        <v>2</v>
      </c>
      <c r="X567">
        <f t="shared" ca="1" si="27"/>
        <v>82</v>
      </c>
    </row>
    <row r="568" spans="18:24">
      <c r="R568">
        <f t="shared" ca="1" si="25"/>
        <v>1</v>
      </c>
      <c r="S568">
        <f>Metrics!B568</f>
        <v>0</v>
      </c>
      <c r="T568">
        <f>'Metric Details'!C568</f>
        <v>0</v>
      </c>
      <c r="U568">
        <f>IF('Metric Details'!F568=$H$1,0,IF('Metric Details'!F568=$H$2,1,2))</f>
        <v>2</v>
      </c>
      <c r="V568">
        <f>LEN('Metric Details'!H568)</f>
        <v>0</v>
      </c>
      <c r="W568">
        <f t="shared" si="26"/>
        <v>2</v>
      </c>
      <c r="X568">
        <f t="shared" ca="1" si="27"/>
        <v>82</v>
      </c>
    </row>
    <row r="569" spans="18:24">
      <c r="R569">
        <f t="shared" ca="1" si="25"/>
        <v>1</v>
      </c>
      <c r="S569">
        <f>Metrics!B569</f>
        <v>0</v>
      </c>
      <c r="T569">
        <f>'Metric Details'!C569</f>
        <v>0</v>
      </c>
      <c r="U569">
        <f>IF('Metric Details'!F569=$H$1,0,IF('Metric Details'!F569=$H$2,1,2))</f>
        <v>2</v>
      </c>
      <c r="V569">
        <f>LEN('Metric Details'!H569)</f>
        <v>0</v>
      </c>
      <c r="W569">
        <f t="shared" si="26"/>
        <v>2</v>
      </c>
      <c r="X569">
        <f t="shared" ca="1" si="27"/>
        <v>82</v>
      </c>
    </row>
    <row r="570" spans="18:24">
      <c r="R570">
        <f t="shared" ca="1" si="25"/>
        <v>1</v>
      </c>
      <c r="S570">
        <f>Metrics!B570</f>
        <v>0</v>
      </c>
      <c r="T570">
        <f>'Metric Details'!C570</f>
        <v>0</v>
      </c>
      <c r="U570">
        <f>IF('Metric Details'!F570=$H$1,0,IF('Metric Details'!F570=$H$2,1,2))</f>
        <v>2</v>
      </c>
      <c r="V570">
        <f>LEN('Metric Details'!H570)</f>
        <v>0</v>
      </c>
      <c r="W570">
        <f t="shared" si="26"/>
        <v>2</v>
      </c>
      <c r="X570">
        <f t="shared" ca="1" si="27"/>
        <v>82</v>
      </c>
    </row>
    <row r="571" spans="18:24">
      <c r="R571">
        <f t="shared" ca="1" si="25"/>
        <v>1</v>
      </c>
      <c r="S571">
        <f>Metrics!B571</f>
        <v>0</v>
      </c>
      <c r="T571">
        <f>'Metric Details'!C571</f>
        <v>0</v>
      </c>
      <c r="U571">
        <f>IF('Metric Details'!F571=$H$1,0,IF('Metric Details'!F571=$H$2,1,2))</f>
        <v>2</v>
      </c>
      <c r="V571">
        <f>LEN('Metric Details'!H571)</f>
        <v>0</v>
      </c>
      <c r="W571">
        <f t="shared" si="26"/>
        <v>2</v>
      </c>
      <c r="X571">
        <f t="shared" ca="1" si="27"/>
        <v>82</v>
      </c>
    </row>
    <row r="572" spans="18:24">
      <c r="R572">
        <f t="shared" ca="1" si="25"/>
        <v>1</v>
      </c>
      <c r="S572">
        <f>Metrics!B572</f>
        <v>0</v>
      </c>
      <c r="T572">
        <f>'Metric Details'!C572</f>
        <v>0</v>
      </c>
      <c r="U572">
        <f>IF('Metric Details'!F572=$H$1,0,IF('Metric Details'!F572=$H$2,1,2))</f>
        <v>2</v>
      </c>
      <c r="V572">
        <f>LEN('Metric Details'!H572)</f>
        <v>0</v>
      </c>
      <c r="W572">
        <f t="shared" si="26"/>
        <v>2</v>
      </c>
      <c r="X572">
        <f t="shared" ca="1" si="27"/>
        <v>82</v>
      </c>
    </row>
    <row r="573" spans="18:24">
      <c r="R573">
        <f t="shared" ca="1" si="25"/>
        <v>1</v>
      </c>
      <c r="S573">
        <f>Metrics!B573</f>
        <v>0</v>
      </c>
      <c r="T573">
        <f>'Metric Details'!C573</f>
        <v>0</v>
      </c>
      <c r="U573">
        <f>IF('Metric Details'!F573=$H$1,0,IF('Metric Details'!F573=$H$2,1,2))</f>
        <v>2</v>
      </c>
      <c r="V573">
        <f>LEN('Metric Details'!H573)</f>
        <v>0</v>
      </c>
      <c r="W573">
        <f t="shared" si="26"/>
        <v>2</v>
      </c>
      <c r="X573">
        <f t="shared" ca="1" si="27"/>
        <v>82</v>
      </c>
    </row>
    <row r="574" spans="18:24">
      <c r="R574">
        <f t="shared" ca="1" si="25"/>
        <v>1</v>
      </c>
      <c r="S574">
        <f>Metrics!B574</f>
        <v>0</v>
      </c>
      <c r="T574">
        <f>'Metric Details'!C574</f>
        <v>0</v>
      </c>
      <c r="U574">
        <f>IF('Metric Details'!F574=$H$1,0,IF('Metric Details'!F574=$H$2,1,2))</f>
        <v>2</v>
      </c>
      <c r="V574">
        <f>LEN('Metric Details'!H574)</f>
        <v>0</v>
      </c>
      <c r="W574">
        <f t="shared" si="26"/>
        <v>2</v>
      </c>
      <c r="X574">
        <f t="shared" ca="1" si="27"/>
        <v>82</v>
      </c>
    </row>
    <row r="575" spans="18:24">
      <c r="R575">
        <f t="shared" ca="1" si="25"/>
        <v>1</v>
      </c>
      <c r="S575">
        <f>Metrics!B575</f>
        <v>0</v>
      </c>
      <c r="T575">
        <f>'Metric Details'!C575</f>
        <v>0</v>
      </c>
      <c r="U575">
        <f>IF('Metric Details'!F575=$H$1,0,IF('Metric Details'!F575=$H$2,1,2))</f>
        <v>2</v>
      </c>
      <c r="V575">
        <f>LEN('Metric Details'!H575)</f>
        <v>0</v>
      </c>
      <c r="W575">
        <f t="shared" si="26"/>
        <v>2</v>
      </c>
      <c r="X575">
        <f t="shared" ca="1" si="27"/>
        <v>82</v>
      </c>
    </row>
    <row r="576" spans="18:24">
      <c r="R576">
        <f t="shared" ca="1" si="25"/>
        <v>1</v>
      </c>
      <c r="S576">
        <f>Metrics!B576</f>
        <v>0</v>
      </c>
      <c r="T576">
        <f>'Metric Details'!C576</f>
        <v>0</v>
      </c>
      <c r="U576">
        <f>IF('Metric Details'!F576=$H$1,0,IF('Metric Details'!F576=$H$2,1,2))</f>
        <v>2</v>
      </c>
      <c r="V576">
        <f>LEN('Metric Details'!H576)</f>
        <v>0</v>
      </c>
      <c r="W576">
        <f t="shared" si="26"/>
        <v>2</v>
      </c>
      <c r="X576">
        <f t="shared" ca="1" si="27"/>
        <v>82</v>
      </c>
    </row>
    <row r="577" spans="18:24">
      <c r="R577">
        <f t="shared" ca="1" si="25"/>
        <v>1</v>
      </c>
      <c r="S577">
        <f>Metrics!B577</f>
        <v>0</v>
      </c>
      <c r="T577">
        <f>'Metric Details'!C577</f>
        <v>0</v>
      </c>
      <c r="U577">
        <f>IF('Metric Details'!F577=$H$1,0,IF('Metric Details'!F577=$H$2,1,2))</f>
        <v>2</v>
      </c>
      <c r="V577">
        <f>LEN('Metric Details'!H577)</f>
        <v>0</v>
      </c>
      <c r="W577">
        <f t="shared" si="26"/>
        <v>2</v>
      </c>
      <c r="X577">
        <f t="shared" ca="1" si="27"/>
        <v>82</v>
      </c>
    </row>
    <row r="578" spans="18:24">
      <c r="R578">
        <f t="shared" ca="1" si="25"/>
        <v>1</v>
      </c>
      <c r="S578">
        <f>Metrics!B578</f>
        <v>0</v>
      </c>
      <c r="T578">
        <f>'Metric Details'!C578</f>
        <v>0</v>
      </c>
      <c r="U578">
        <f>IF('Metric Details'!F578=$H$1,0,IF('Metric Details'!F578=$H$2,1,2))</f>
        <v>2</v>
      </c>
      <c r="V578">
        <f>LEN('Metric Details'!H578)</f>
        <v>0</v>
      </c>
      <c r="W578">
        <f t="shared" si="26"/>
        <v>2</v>
      </c>
      <c r="X578">
        <f t="shared" ca="1" si="27"/>
        <v>82</v>
      </c>
    </row>
    <row r="579" spans="18:24">
      <c r="R579">
        <f t="shared" ref="R579:R624" ca="1" si="28">IF(INDEX(W:W,X579)&gt;0,1,0)</f>
        <v>1</v>
      </c>
      <c r="S579">
        <f>Metrics!B579</f>
        <v>0</v>
      </c>
      <c r="T579">
        <f>'Metric Details'!C579</f>
        <v>0</v>
      </c>
      <c r="U579">
        <f>IF('Metric Details'!F579=$H$1,0,IF('Metric Details'!F579=$H$2,1,2))</f>
        <v>2</v>
      </c>
      <c r="V579">
        <f>LEN('Metric Details'!H579)</f>
        <v>0</v>
      </c>
      <c r="W579">
        <f t="shared" ref="W579:W624" si="29">IF(V579&gt;0,2,U579)</f>
        <v>2</v>
      </c>
      <c r="X579">
        <f t="shared" ca="1" si="27"/>
        <v>82</v>
      </c>
    </row>
    <row r="580" spans="18:24">
      <c r="R580">
        <f t="shared" ca="1" si="28"/>
        <v>1</v>
      </c>
      <c r="S580">
        <f>Metrics!B580</f>
        <v>0</v>
      </c>
      <c r="T580">
        <f>'Metric Details'!C580</f>
        <v>0</v>
      </c>
      <c r="U580">
        <f>IF('Metric Details'!F580=$H$1,0,IF('Metric Details'!F580=$H$2,1,2))</f>
        <v>2</v>
      </c>
      <c r="V580">
        <f>LEN('Metric Details'!H580)</f>
        <v>0</v>
      </c>
      <c r="W580">
        <f t="shared" si="29"/>
        <v>2</v>
      </c>
      <c r="X580">
        <f t="shared" ca="1" si="27"/>
        <v>82</v>
      </c>
    </row>
    <row r="581" spans="18:24">
      <c r="R581">
        <f t="shared" ca="1" si="28"/>
        <v>1</v>
      </c>
      <c r="S581">
        <f>Metrics!B581</f>
        <v>0</v>
      </c>
      <c r="T581">
        <f>'Metric Details'!C581</f>
        <v>0</v>
      </c>
      <c r="U581">
        <f>IF('Metric Details'!F581=$H$1,0,IF('Metric Details'!F581=$H$2,1,2))</f>
        <v>2</v>
      </c>
      <c r="V581">
        <f>LEN('Metric Details'!H581)</f>
        <v>0</v>
      </c>
      <c r="W581">
        <f t="shared" si="29"/>
        <v>2</v>
      </c>
      <c r="X581">
        <f t="shared" ca="1" si="27"/>
        <v>82</v>
      </c>
    </row>
    <row r="582" spans="18:24">
      <c r="R582">
        <f t="shared" ca="1" si="28"/>
        <v>1</v>
      </c>
      <c r="S582">
        <f>Metrics!B582</f>
        <v>0</v>
      </c>
      <c r="T582">
        <f>'Metric Details'!C582</f>
        <v>0</v>
      </c>
      <c r="U582">
        <f>IF('Metric Details'!F582=$H$1,0,IF('Metric Details'!F582=$H$2,1,2))</f>
        <v>2</v>
      </c>
      <c r="V582">
        <f>LEN('Metric Details'!H582)</f>
        <v>0</v>
      </c>
      <c r="W582">
        <f t="shared" si="29"/>
        <v>2</v>
      </c>
      <c r="X582">
        <f t="shared" ref="X582:X624" ca="1" si="30">ROW(INDIRECT(ADDRESS(MATCH(S582,T:T,0),COLUMN(T582),1)))</f>
        <v>82</v>
      </c>
    </row>
    <row r="583" spans="18:24">
      <c r="R583">
        <f t="shared" ca="1" si="28"/>
        <v>1</v>
      </c>
      <c r="S583">
        <f>Metrics!B583</f>
        <v>0</v>
      </c>
      <c r="T583">
        <f>'Metric Details'!C583</f>
        <v>0</v>
      </c>
      <c r="U583">
        <f>IF('Metric Details'!F583=$H$1,0,IF('Metric Details'!F583=$H$2,1,2))</f>
        <v>2</v>
      </c>
      <c r="V583">
        <f>LEN('Metric Details'!H583)</f>
        <v>0</v>
      </c>
      <c r="W583">
        <f t="shared" si="29"/>
        <v>2</v>
      </c>
      <c r="X583">
        <f t="shared" ca="1" si="30"/>
        <v>82</v>
      </c>
    </row>
    <row r="584" spans="18:24">
      <c r="R584">
        <f t="shared" ca="1" si="28"/>
        <v>1</v>
      </c>
      <c r="S584">
        <f>Metrics!B584</f>
        <v>0</v>
      </c>
      <c r="T584">
        <f>'Metric Details'!C584</f>
        <v>0</v>
      </c>
      <c r="U584">
        <f>IF('Metric Details'!F584=$H$1,0,IF('Metric Details'!F584=$H$2,1,2))</f>
        <v>2</v>
      </c>
      <c r="V584">
        <f>LEN('Metric Details'!H584)</f>
        <v>0</v>
      </c>
      <c r="W584">
        <f t="shared" si="29"/>
        <v>2</v>
      </c>
      <c r="X584">
        <f t="shared" ca="1" si="30"/>
        <v>82</v>
      </c>
    </row>
    <row r="585" spans="18:24">
      <c r="R585">
        <f t="shared" ca="1" si="28"/>
        <v>1</v>
      </c>
      <c r="S585">
        <f>Metrics!B585</f>
        <v>0</v>
      </c>
      <c r="T585">
        <f>'Metric Details'!C585</f>
        <v>0</v>
      </c>
      <c r="U585">
        <f>IF('Metric Details'!F585=$H$1,0,IF('Metric Details'!F585=$H$2,1,2))</f>
        <v>2</v>
      </c>
      <c r="V585">
        <f>LEN('Metric Details'!H585)</f>
        <v>0</v>
      </c>
      <c r="W585">
        <f t="shared" si="29"/>
        <v>2</v>
      </c>
      <c r="X585">
        <f t="shared" ca="1" si="30"/>
        <v>82</v>
      </c>
    </row>
    <row r="586" spans="18:24">
      <c r="R586">
        <f t="shared" ca="1" si="28"/>
        <v>1</v>
      </c>
      <c r="S586">
        <f>Metrics!B586</f>
        <v>0</v>
      </c>
      <c r="T586">
        <f>'Metric Details'!C586</f>
        <v>0</v>
      </c>
      <c r="U586">
        <f>IF('Metric Details'!F586=$H$1,0,IF('Metric Details'!F586=$H$2,1,2))</f>
        <v>2</v>
      </c>
      <c r="V586">
        <f>LEN('Metric Details'!H586)</f>
        <v>0</v>
      </c>
      <c r="W586">
        <f t="shared" si="29"/>
        <v>2</v>
      </c>
      <c r="X586">
        <f t="shared" ca="1" si="30"/>
        <v>82</v>
      </c>
    </row>
    <row r="587" spans="18:24">
      <c r="R587">
        <f t="shared" ca="1" si="28"/>
        <v>1</v>
      </c>
      <c r="S587">
        <f>Metrics!B587</f>
        <v>0</v>
      </c>
      <c r="T587">
        <f>'Metric Details'!C587</f>
        <v>0</v>
      </c>
      <c r="U587">
        <f>IF('Metric Details'!F587=$H$1,0,IF('Metric Details'!F587=$H$2,1,2))</f>
        <v>2</v>
      </c>
      <c r="V587">
        <f>LEN('Metric Details'!H587)</f>
        <v>0</v>
      </c>
      <c r="W587">
        <f t="shared" si="29"/>
        <v>2</v>
      </c>
      <c r="X587">
        <f t="shared" ca="1" si="30"/>
        <v>82</v>
      </c>
    </row>
    <row r="588" spans="18:24">
      <c r="R588">
        <f t="shared" ca="1" si="28"/>
        <v>1</v>
      </c>
      <c r="S588">
        <f>Metrics!B588</f>
        <v>0</v>
      </c>
      <c r="T588">
        <f>'Metric Details'!C588</f>
        <v>0</v>
      </c>
      <c r="U588">
        <f>IF('Metric Details'!F588=$H$1,0,IF('Metric Details'!F588=$H$2,1,2))</f>
        <v>2</v>
      </c>
      <c r="V588">
        <f>LEN('Metric Details'!H588)</f>
        <v>0</v>
      </c>
      <c r="W588">
        <f t="shared" si="29"/>
        <v>2</v>
      </c>
      <c r="X588">
        <f t="shared" ca="1" si="30"/>
        <v>82</v>
      </c>
    </row>
    <row r="589" spans="18:24">
      <c r="R589">
        <f t="shared" ca="1" si="28"/>
        <v>1</v>
      </c>
      <c r="S589">
        <f>Metrics!B589</f>
        <v>0</v>
      </c>
      <c r="T589">
        <f>'Metric Details'!C589</f>
        <v>0</v>
      </c>
      <c r="U589">
        <f>IF('Metric Details'!F589=$H$1,0,IF('Metric Details'!F589=$H$2,1,2))</f>
        <v>2</v>
      </c>
      <c r="V589">
        <f>LEN('Metric Details'!H589)</f>
        <v>0</v>
      </c>
      <c r="W589">
        <f t="shared" si="29"/>
        <v>2</v>
      </c>
      <c r="X589">
        <f t="shared" ca="1" si="30"/>
        <v>82</v>
      </c>
    </row>
    <row r="590" spans="18:24">
      <c r="R590">
        <f t="shared" ca="1" si="28"/>
        <v>1</v>
      </c>
      <c r="S590">
        <f>Metrics!B590</f>
        <v>0</v>
      </c>
      <c r="T590">
        <f>'Metric Details'!C590</f>
        <v>0</v>
      </c>
      <c r="U590">
        <f>IF('Metric Details'!F590=$H$1,0,IF('Metric Details'!F590=$H$2,1,2))</f>
        <v>2</v>
      </c>
      <c r="V590">
        <f>LEN('Metric Details'!H590)</f>
        <v>0</v>
      </c>
      <c r="W590">
        <f t="shared" si="29"/>
        <v>2</v>
      </c>
      <c r="X590">
        <f t="shared" ca="1" si="30"/>
        <v>82</v>
      </c>
    </row>
    <row r="591" spans="18:24">
      <c r="R591">
        <f t="shared" ca="1" si="28"/>
        <v>1</v>
      </c>
      <c r="S591">
        <f>Metrics!B591</f>
        <v>0</v>
      </c>
      <c r="T591">
        <f>'Metric Details'!C591</f>
        <v>0</v>
      </c>
      <c r="U591">
        <f>IF('Metric Details'!F591=$H$1,0,IF('Metric Details'!F591=$H$2,1,2))</f>
        <v>2</v>
      </c>
      <c r="V591">
        <f>LEN('Metric Details'!H591)</f>
        <v>0</v>
      </c>
      <c r="W591">
        <f t="shared" si="29"/>
        <v>2</v>
      </c>
      <c r="X591">
        <f t="shared" ca="1" si="30"/>
        <v>82</v>
      </c>
    </row>
    <row r="592" spans="18:24">
      <c r="R592">
        <f t="shared" ca="1" si="28"/>
        <v>1</v>
      </c>
      <c r="S592">
        <f>Metrics!B592</f>
        <v>0</v>
      </c>
      <c r="T592">
        <f>'Metric Details'!C592</f>
        <v>0</v>
      </c>
      <c r="U592">
        <f>IF('Metric Details'!F592=$H$1,0,IF('Metric Details'!F592=$H$2,1,2))</f>
        <v>2</v>
      </c>
      <c r="V592">
        <f>LEN('Metric Details'!H592)</f>
        <v>0</v>
      </c>
      <c r="W592">
        <f t="shared" si="29"/>
        <v>2</v>
      </c>
      <c r="X592">
        <f t="shared" ca="1" si="30"/>
        <v>82</v>
      </c>
    </row>
    <row r="593" spans="18:24">
      <c r="R593">
        <f t="shared" ca="1" si="28"/>
        <v>1</v>
      </c>
      <c r="S593">
        <f>Metrics!B593</f>
        <v>0</v>
      </c>
      <c r="T593">
        <f>'Metric Details'!C593</f>
        <v>0</v>
      </c>
      <c r="U593">
        <f>IF('Metric Details'!F593=$H$1,0,IF('Metric Details'!F593=$H$2,1,2))</f>
        <v>2</v>
      </c>
      <c r="V593">
        <f>LEN('Metric Details'!H593)</f>
        <v>0</v>
      </c>
      <c r="W593">
        <f t="shared" si="29"/>
        <v>2</v>
      </c>
      <c r="X593">
        <f t="shared" ca="1" si="30"/>
        <v>82</v>
      </c>
    </row>
    <row r="594" spans="18:24">
      <c r="R594">
        <f t="shared" ca="1" si="28"/>
        <v>1</v>
      </c>
      <c r="S594">
        <f>Metrics!B594</f>
        <v>0</v>
      </c>
      <c r="T594">
        <f>'Metric Details'!C594</f>
        <v>0</v>
      </c>
      <c r="U594">
        <f>IF('Metric Details'!F594=$H$1,0,IF('Metric Details'!F594=$H$2,1,2))</f>
        <v>2</v>
      </c>
      <c r="V594">
        <f>LEN('Metric Details'!H594)</f>
        <v>0</v>
      </c>
      <c r="W594">
        <f t="shared" si="29"/>
        <v>2</v>
      </c>
      <c r="X594">
        <f t="shared" ca="1" si="30"/>
        <v>82</v>
      </c>
    </row>
    <row r="595" spans="18:24">
      <c r="R595">
        <f t="shared" ca="1" si="28"/>
        <v>1</v>
      </c>
      <c r="S595">
        <f>Metrics!B595</f>
        <v>0</v>
      </c>
      <c r="T595">
        <f>'Metric Details'!C595</f>
        <v>0</v>
      </c>
      <c r="U595">
        <f>IF('Metric Details'!F595=$H$1,0,IF('Metric Details'!F595=$H$2,1,2))</f>
        <v>2</v>
      </c>
      <c r="V595">
        <f>LEN('Metric Details'!H595)</f>
        <v>0</v>
      </c>
      <c r="W595">
        <f t="shared" si="29"/>
        <v>2</v>
      </c>
      <c r="X595">
        <f t="shared" ca="1" si="30"/>
        <v>82</v>
      </c>
    </row>
    <row r="596" spans="18:24">
      <c r="R596">
        <f t="shared" ca="1" si="28"/>
        <v>1</v>
      </c>
      <c r="S596">
        <f>Metrics!B596</f>
        <v>0</v>
      </c>
      <c r="T596">
        <f>'Metric Details'!C596</f>
        <v>0</v>
      </c>
      <c r="U596">
        <f>IF('Metric Details'!F596=$H$1,0,IF('Metric Details'!F596=$H$2,1,2))</f>
        <v>2</v>
      </c>
      <c r="V596">
        <f>LEN('Metric Details'!H596)</f>
        <v>0</v>
      </c>
      <c r="W596">
        <f t="shared" si="29"/>
        <v>2</v>
      </c>
      <c r="X596">
        <f t="shared" ca="1" si="30"/>
        <v>82</v>
      </c>
    </row>
    <row r="597" spans="18:24">
      <c r="R597">
        <f t="shared" ca="1" si="28"/>
        <v>1</v>
      </c>
      <c r="S597">
        <f>Metrics!B597</f>
        <v>0</v>
      </c>
      <c r="T597">
        <f>'Metric Details'!C597</f>
        <v>0</v>
      </c>
      <c r="U597">
        <f>IF('Metric Details'!F597=$H$1,0,IF('Metric Details'!F597=$H$2,1,2))</f>
        <v>2</v>
      </c>
      <c r="V597">
        <f>LEN('Metric Details'!H597)</f>
        <v>0</v>
      </c>
      <c r="W597">
        <f t="shared" si="29"/>
        <v>2</v>
      </c>
      <c r="X597">
        <f t="shared" ca="1" si="30"/>
        <v>82</v>
      </c>
    </row>
    <row r="598" spans="18:24">
      <c r="R598">
        <f t="shared" ca="1" si="28"/>
        <v>1</v>
      </c>
      <c r="S598">
        <f>Metrics!B598</f>
        <v>0</v>
      </c>
      <c r="T598">
        <f>'Metric Details'!C598</f>
        <v>0</v>
      </c>
      <c r="U598">
        <f>IF('Metric Details'!F598=$H$1,0,IF('Metric Details'!F598=$H$2,1,2))</f>
        <v>2</v>
      </c>
      <c r="V598">
        <f>LEN('Metric Details'!H598)</f>
        <v>0</v>
      </c>
      <c r="W598">
        <f t="shared" si="29"/>
        <v>2</v>
      </c>
      <c r="X598">
        <f t="shared" ca="1" si="30"/>
        <v>82</v>
      </c>
    </row>
    <row r="599" spans="18:24">
      <c r="R599">
        <f t="shared" ca="1" si="28"/>
        <v>1</v>
      </c>
      <c r="S599">
        <f>Metrics!B599</f>
        <v>0</v>
      </c>
      <c r="T599">
        <f>'Metric Details'!C599</f>
        <v>0</v>
      </c>
      <c r="U599">
        <f>IF('Metric Details'!F599=$H$1,0,IF('Metric Details'!F599=$H$2,1,2))</f>
        <v>2</v>
      </c>
      <c r="V599">
        <f>LEN('Metric Details'!H599)</f>
        <v>0</v>
      </c>
      <c r="W599">
        <f t="shared" si="29"/>
        <v>2</v>
      </c>
      <c r="X599">
        <f t="shared" ca="1" si="30"/>
        <v>82</v>
      </c>
    </row>
    <row r="600" spans="18:24">
      <c r="R600">
        <f t="shared" ca="1" si="28"/>
        <v>1</v>
      </c>
      <c r="S600">
        <f>Metrics!B600</f>
        <v>0</v>
      </c>
      <c r="T600">
        <f>'Metric Details'!C600</f>
        <v>0</v>
      </c>
      <c r="U600">
        <f>IF('Metric Details'!F600=$H$1,0,IF('Metric Details'!F600=$H$2,1,2))</f>
        <v>2</v>
      </c>
      <c r="V600">
        <f>LEN('Metric Details'!H600)</f>
        <v>0</v>
      </c>
      <c r="W600">
        <f t="shared" si="29"/>
        <v>2</v>
      </c>
      <c r="X600">
        <f t="shared" ca="1" si="30"/>
        <v>82</v>
      </c>
    </row>
    <row r="601" spans="18:24">
      <c r="R601">
        <f t="shared" ca="1" si="28"/>
        <v>1</v>
      </c>
      <c r="S601">
        <f>Metrics!B601</f>
        <v>0</v>
      </c>
      <c r="T601">
        <f>'Metric Details'!C601</f>
        <v>0</v>
      </c>
      <c r="U601">
        <f>IF('Metric Details'!F601=$H$1,0,IF('Metric Details'!F601=$H$2,1,2))</f>
        <v>2</v>
      </c>
      <c r="V601">
        <f>LEN('Metric Details'!H601)</f>
        <v>0</v>
      </c>
      <c r="W601">
        <f t="shared" si="29"/>
        <v>2</v>
      </c>
      <c r="X601">
        <f t="shared" ca="1" si="30"/>
        <v>82</v>
      </c>
    </row>
    <row r="602" spans="18:24">
      <c r="R602">
        <f t="shared" ca="1" si="28"/>
        <v>1</v>
      </c>
      <c r="S602">
        <f>Metrics!B602</f>
        <v>0</v>
      </c>
      <c r="T602">
        <f>'Metric Details'!C602</f>
        <v>0</v>
      </c>
      <c r="U602">
        <f>IF('Metric Details'!F602=$H$1,0,IF('Metric Details'!F602=$H$2,1,2))</f>
        <v>2</v>
      </c>
      <c r="V602">
        <f>LEN('Metric Details'!H602)</f>
        <v>0</v>
      </c>
      <c r="W602">
        <f t="shared" si="29"/>
        <v>2</v>
      </c>
      <c r="X602">
        <f t="shared" ca="1" si="30"/>
        <v>82</v>
      </c>
    </row>
    <row r="603" spans="18:24">
      <c r="R603">
        <f t="shared" ca="1" si="28"/>
        <v>1</v>
      </c>
      <c r="S603">
        <f>Metrics!B603</f>
        <v>0</v>
      </c>
      <c r="T603">
        <f>'Metric Details'!C603</f>
        <v>0</v>
      </c>
      <c r="U603">
        <f>IF('Metric Details'!F603=$H$1,0,IF('Metric Details'!F603=$H$2,1,2))</f>
        <v>2</v>
      </c>
      <c r="V603">
        <f>LEN('Metric Details'!H603)</f>
        <v>0</v>
      </c>
      <c r="W603">
        <f t="shared" si="29"/>
        <v>2</v>
      </c>
      <c r="X603">
        <f t="shared" ca="1" si="30"/>
        <v>82</v>
      </c>
    </row>
    <row r="604" spans="18:24">
      <c r="R604">
        <f t="shared" ca="1" si="28"/>
        <v>1</v>
      </c>
      <c r="S604">
        <f>Metrics!B604</f>
        <v>0</v>
      </c>
      <c r="T604">
        <f>'Metric Details'!C604</f>
        <v>0</v>
      </c>
      <c r="U604">
        <f>IF('Metric Details'!F604=$H$1,0,IF('Metric Details'!F604=$H$2,1,2))</f>
        <v>2</v>
      </c>
      <c r="V604">
        <f>LEN('Metric Details'!H604)</f>
        <v>0</v>
      </c>
      <c r="W604">
        <f t="shared" si="29"/>
        <v>2</v>
      </c>
      <c r="X604">
        <f t="shared" ca="1" si="30"/>
        <v>82</v>
      </c>
    </row>
    <row r="605" spans="18:24">
      <c r="R605">
        <f t="shared" ca="1" si="28"/>
        <v>1</v>
      </c>
      <c r="S605">
        <f>Metrics!B605</f>
        <v>0</v>
      </c>
      <c r="T605">
        <f>'Metric Details'!C605</f>
        <v>0</v>
      </c>
      <c r="U605">
        <f>IF('Metric Details'!F605=$H$1,0,IF('Metric Details'!F605=$H$2,1,2))</f>
        <v>2</v>
      </c>
      <c r="V605">
        <f>LEN('Metric Details'!H605)</f>
        <v>0</v>
      </c>
      <c r="W605">
        <f t="shared" si="29"/>
        <v>2</v>
      </c>
      <c r="X605">
        <f t="shared" ca="1" si="30"/>
        <v>82</v>
      </c>
    </row>
    <row r="606" spans="18:24">
      <c r="R606">
        <f t="shared" ca="1" si="28"/>
        <v>1</v>
      </c>
      <c r="S606">
        <f>Metrics!B606</f>
        <v>0</v>
      </c>
      <c r="T606">
        <f>'Metric Details'!C606</f>
        <v>0</v>
      </c>
      <c r="U606">
        <f>IF('Metric Details'!F606=$H$1,0,IF('Metric Details'!F606=$H$2,1,2))</f>
        <v>2</v>
      </c>
      <c r="V606">
        <f>LEN('Metric Details'!H606)</f>
        <v>0</v>
      </c>
      <c r="W606">
        <f t="shared" si="29"/>
        <v>2</v>
      </c>
      <c r="X606">
        <f t="shared" ca="1" si="30"/>
        <v>82</v>
      </c>
    </row>
    <row r="607" spans="18:24">
      <c r="R607">
        <f t="shared" ca="1" si="28"/>
        <v>1</v>
      </c>
      <c r="S607">
        <f>Metrics!B607</f>
        <v>0</v>
      </c>
      <c r="T607">
        <f>'Metric Details'!C607</f>
        <v>0</v>
      </c>
      <c r="U607">
        <f>IF('Metric Details'!F607=$H$1,0,IF('Metric Details'!F607=$H$2,1,2))</f>
        <v>2</v>
      </c>
      <c r="V607">
        <f>LEN('Metric Details'!H607)</f>
        <v>0</v>
      </c>
      <c r="W607">
        <f t="shared" si="29"/>
        <v>2</v>
      </c>
      <c r="X607">
        <f t="shared" ca="1" si="30"/>
        <v>82</v>
      </c>
    </row>
    <row r="608" spans="18:24">
      <c r="R608">
        <f t="shared" ca="1" si="28"/>
        <v>1</v>
      </c>
      <c r="S608">
        <f>Metrics!B608</f>
        <v>0</v>
      </c>
      <c r="T608">
        <f>'Metric Details'!C608</f>
        <v>0</v>
      </c>
      <c r="U608">
        <f>IF('Metric Details'!F608=$H$1,0,IF('Metric Details'!F608=$H$2,1,2))</f>
        <v>2</v>
      </c>
      <c r="V608">
        <f>LEN('Metric Details'!H608)</f>
        <v>0</v>
      </c>
      <c r="W608">
        <f t="shared" si="29"/>
        <v>2</v>
      </c>
      <c r="X608">
        <f t="shared" ca="1" si="30"/>
        <v>82</v>
      </c>
    </row>
    <row r="609" spans="18:24">
      <c r="R609">
        <f t="shared" ca="1" si="28"/>
        <v>1</v>
      </c>
      <c r="S609">
        <f>Metrics!B609</f>
        <v>0</v>
      </c>
      <c r="T609">
        <f>'Metric Details'!C609</f>
        <v>0</v>
      </c>
      <c r="U609">
        <f>IF('Metric Details'!F609=$H$1,0,IF('Metric Details'!F609=$H$2,1,2))</f>
        <v>2</v>
      </c>
      <c r="V609">
        <f>LEN('Metric Details'!H609)</f>
        <v>0</v>
      </c>
      <c r="W609">
        <f t="shared" si="29"/>
        <v>2</v>
      </c>
      <c r="X609">
        <f t="shared" ca="1" si="30"/>
        <v>82</v>
      </c>
    </row>
    <row r="610" spans="18:24">
      <c r="R610">
        <f t="shared" ca="1" si="28"/>
        <v>1</v>
      </c>
      <c r="S610">
        <f>Metrics!B610</f>
        <v>0</v>
      </c>
      <c r="T610">
        <f>'Metric Details'!C610</f>
        <v>0</v>
      </c>
      <c r="U610">
        <f>IF('Metric Details'!F610=$H$1,0,IF('Metric Details'!F610=$H$2,1,2))</f>
        <v>2</v>
      </c>
      <c r="V610">
        <f>LEN('Metric Details'!H610)</f>
        <v>0</v>
      </c>
      <c r="W610">
        <f t="shared" si="29"/>
        <v>2</v>
      </c>
      <c r="X610">
        <f t="shared" ca="1" si="30"/>
        <v>82</v>
      </c>
    </row>
    <row r="611" spans="18:24">
      <c r="R611">
        <f t="shared" ca="1" si="28"/>
        <v>1</v>
      </c>
      <c r="S611">
        <f>Metrics!B611</f>
        <v>0</v>
      </c>
      <c r="T611">
        <f>'Metric Details'!C611</f>
        <v>0</v>
      </c>
      <c r="U611">
        <f>IF('Metric Details'!F611=$H$1,0,IF('Metric Details'!F611=$H$2,1,2))</f>
        <v>2</v>
      </c>
      <c r="V611">
        <f>LEN('Metric Details'!H611)</f>
        <v>0</v>
      </c>
      <c r="W611">
        <f t="shared" si="29"/>
        <v>2</v>
      </c>
      <c r="X611">
        <f t="shared" ca="1" si="30"/>
        <v>82</v>
      </c>
    </row>
    <row r="612" spans="18:24">
      <c r="R612">
        <f t="shared" ca="1" si="28"/>
        <v>1</v>
      </c>
      <c r="S612">
        <f>Metrics!B612</f>
        <v>0</v>
      </c>
      <c r="T612">
        <f>'Metric Details'!C612</f>
        <v>0</v>
      </c>
      <c r="U612">
        <f>IF('Metric Details'!F612=$H$1,0,IF('Metric Details'!F612=$H$2,1,2))</f>
        <v>2</v>
      </c>
      <c r="V612">
        <f>LEN('Metric Details'!H612)</f>
        <v>0</v>
      </c>
      <c r="W612">
        <f t="shared" si="29"/>
        <v>2</v>
      </c>
      <c r="X612">
        <f t="shared" ca="1" si="30"/>
        <v>82</v>
      </c>
    </row>
    <row r="613" spans="18:24">
      <c r="R613">
        <f t="shared" ca="1" si="28"/>
        <v>1</v>
      </c>
      <c r="S613">
        <f>Metrics!B613</f>
        <v>0</v>
      </c>
      <c r="T613">
        <f>'Metric Details'!C613</f>
        <v>0</v>
      </c>
      <c r="U613">
        <f>IF('Metric Details'!F613=$H$1,0,IF('Metric Details'!F613=$H$2,1,2))</f>
        <v>2</v>
      </c>
      <c r="V613">
        <f>LEN('Metric Details'!H613)</f>
        <v>0</v>
      </c>
      <c r="W613">
        <f t="shared" si="29"/>
        <v>2</v>
      </c>
      <c r="X613">
        <f t="shared" ca="1" si="30"/>
        <v>82</v>
      </c>
    </row>
    <row r="614" spans="18:24">
      <c r="R614">
        <f t="shared" ca="1" si="28"/>
        <v>1</v>
      </c>
      <c r="S614">
        <f>Metrics!B614</f>
        <v>0</v>
      </c>
      <c r="T614">
        <f>'Metric Details'!C614</f>
        <v>0</v>
      </c>
      <c r="U614">
        <f>IF('Metric Details'!F614=$H$1,0,IF('Metric Details'!F614=$H$2,1,2))</f>
        <v>2</v>
      </c>
      <c r="V614">
        <f>LEN('Metric Details'!H614)</f>
        <v>0</v>
      </c>
      <c r="W614">
        <f t="shared" si="29"/>
        <v>2</v>
      </c>
      <c r="X614">
        <f t="shared" ca="1" si="30"/>
        <v>82</v>
      </c>
    </row>
    <row r="615" spans="18:24">
      <c r="R615">
        <f t="shared" ca="1" si="28"/>
        <v>1</v>
      </c>
      <c r="S615">
        <f>Metrics!B615</f>
        <v>0</v>
      </c>
      <c r="T615">
        <f>'Metric Details'!C615</f>
        <v>0</v>
      </c>
      <c r="U615">
        <f>IF('Metric Details'!F615=$H$1,0,IF('Metric Details'!F615=$H$2,1,2))</f>
        <v>2</v>
      </c>
      <c r="V615">
        <f>LEN('Metric Details'!H615)</f>
        <v>0</v>
      </c>
      <c r="W615">
        <f t="shared" si="29"/>
        <v>2</v>
      </c>
      <c r="X615">
        <f t="shared" ca="1" si="30"/>
        <v>82</v>
      </c>
    </row>
    <row r="616" spans="18:24">
      <c r="R616">
        <f t="shared" ca="1" si="28"/>
        <v>1</v>
      </c>
      <c r="S616">
        <f>Metrics!B616</f>
        <v>0</v>
      </c>
      <c r="T616">
        <f>'Metric Details'!C616</f>
        <v>0</v>
      </c>
      <c r="U616">
        <f>IF('Metric Details'!F616=$H$1,0,IF('Metric Details'!F616=$H$2,1,2))</f>
        <v>2</v>
      </c>
      <c r="V616">
        <f>LEN('Metric Details'!H616)</f>
        <v>0</v>
      </c>
      <c r="W616">
        <f t="shared" si="29"/>
        <v>2</v>
      </c>
      <c r="X616">
        <f t="shared" ca="1" si="30"/>
        <v>82</v>
      </c>
    </row>
    <row r="617" spans="18:24">
      <c r="R617">
        <f t="shared" ca="1" si="28"/>
        <v>1</v>
      </c>
      <c r="S617">
        <f>Metrics!B617</f>
        <v>0</v>
      </c>
      <c r="T617">
        <f>'Metric Details'!C617</f>
        <v>0</v>
      </c>
      <c r="U617">
        <f>IF('Metric Details'!F617=$H$1,0,IF('Metric Details'!F617=$H$2,1,2))</f>
        <v>2</v>
      </c>
      <c r="V617">
        <f>LEN('Metric Details'!H617)</f>
        <v>0</v>
      </c>
      <c r="W617">
        <f t="shared" si="29"/>
        <v>2</v>
      </c>
      <c r="X617">
        <f t="shared" ca="1" si="30"/>
        <v>82</v>
      </c>
    </row>
    <row r="618" spans="18:24">
      <c r="R618">
        <f t="shared" ca="1" si="28"/>
        <v>1</v>
      </c>
      <c r="S618">
        <f>Metrics!B618</f>
        <v>0</v>
      </c>
      <c r="T618">
        <f>'Metric Details'!C618</f>
        <v>0</v>
      </c>
      <c r="U618">
        <f>IF('Metric Details'!F618=$H$1,0,IF('Metric Details'!F618=$H$2,1,2))</f>
        <v>2</v>
      </c>
      <c r="V618">
        <f>LEN('Metric Details'!H618)</f>
        <v>0</v>
      </c>
      <c r="W618">
        <f t="shared" si="29"/>
        <v>2</v>
      </c>
      <c r="X618">
        <f t="shared" ca="1" si="30"/>
        <v>82</v>
      </c>
    </row>
    <row r="619" spans="18:24">
      <c r="R619">
        <f t="shared" ca="1" si="28"/>
        <v>1</v>
      </c>
      <c r="S619">
        <f>Metrics!B619</f>
        <v>0</v>
      </c>
      <c r="T619">
        <f>'Metric Details'!C619</f>
        <v>0</v>
      </c>
      <c r="U619">
        <f>IF('Metric Details'!F619=$H$1,0,IF('Metric Details'!F619=$H$2,1,2))</f>
        <v>2</v>
      </c>
      <c r="V619">
        <f>LEN('Metric Details'!H619)</f>
        <v>0</v>
      </c>
      <c r="W619">
        <f t="shared" si="29"/>
        <v>2</v>
      </c>
      <c r="X619">
        <f t="shared" ca="1" si="30"/>
        <v>82</v>
      </c>
    </row>
    <row r="620" spans="18:24">
      <c r="R620">
        <f t="shared" ca="1" si="28"/>
        <v>1</v>
      </c>
      <c r="S620">
        <f>Metrics!B620</f>
        <v>0</v>
      </c>
      <c r="T620">
        <f>'Metric Details'!C620</f>
        <v>0</v>
      </c>
      <c r="U620">
        <f>IF('Metric Details'!F620=$H$1,0,IF('Metric Details'!F620=$H$2,1,2))</f>
        <v>2</v>
      </c>
      <c r="V620">
        <f>LEN('Metric Details'!H620)</f>
        <v>0</v>
      </c>
      <c r="W620">
        <f t="shared" si="29"/>
        <v>2</v>
      </c>
      <c r="X620">
        <f t="shared" ca="1" si="30"/>
        <v>82</v>
      </c>
    </row>
    <row r="621" spans="18:24">
      <c r="R621">
        <f t="shared" ca="1" si="28"/>
        <v>1</v>
      </c>
      <c r="S621">
        <f>Metrics!B621</f>
        <v>0</v>
      </c>
      <c r="T621">
        <f>'Metric Details'!C621</f>
        <v>0</v>
      </c>
      <c r="U621">
        <f>IF('Metric Details'!F621=$H$1,0,IF('Metric Details'!F621=$H$2,1,2))</f>
        <v>2</v>
      </c>
      <c r="V621">
        <f>LEN('Metric Details'!H621)</f>
        <v>0</v>
      </c>
      <c r="W621">
        <f t="shared" si="29"/>
        <v>2</v>
      </c>
      <c r="X621">
        <f t="shared" ca="1" si="30"/>
        <v>82</v>
      </c>
    </row>
    <row r="622" spans="18:24">
      <c r="R622">
        <f t="shared" ca="1" si="28"/>
        <v>1</v>
      </c>
      <c r="S622">
        <f>Metrics!B622</f>
        <v>0</v>
      </c>
      <c r="T622">
        <f>'Metric Details'!C622</f>
        <v>0</v>
      </c>
      <c r="U622">
        <f>IF('Metric Details'!F622=$H$1,0,IF('Metric Details'!F622=$H$2,1,2))</f>
        <v>2</v>
      </c>
      <c r="V622">
        <f>LEN('Metric Details'!H622)</f>
        <v>0</v>
      </c>
      <c r="W622">
        <f t="shared" si="29"/>
        <v>2</v>
      </c>
      <c r="X622">
        <f t="shared" ca="1" si="30"/>
        <v>82</v>
      </c>
    </row>
    <row r="623" spans="18:24">
      <c r="R623">
        <f t="shared" ca="1" si="28"/>
        <v>1</v>
      </c>
      <c r="S623">
        <f>Metrics!B623</f>
        <v>0</v>
      </c>
      <c r="T623">
        <f>'Metric Details'!C623</f>
        <v>0</v>
      </c>
      <c r="U623">
        <f>IF('Metric Details'!F623=$H$1,0,IF('Metric Details'!F623=$H$2,1,2))</f>
        <v>2</v>
      </c>
      <c r="V623">
        <f>LEN('Metric Details'!H623)</f>
        <v>0</v>
      </c>
      <c r="W623">
        <f t="shared" si="29"/>
        <v>2</v>
      </c>
      <c r="X623">
        <f t="shared" ca="1" si="30"/>
        <v>82</v>
      </c>
    </row>
    <row r="624" spans="18:24">
      <c r="R624">
        <f t="shared" ca="1" si="28"/>
        <v>1</v>
      </c>
      <c r="S624">
        <f>Metrics!B624</f>
        <v>0</v>
      </c>
      <c r="T624">
        <f>'Metric Details'!C624</f>
        <v>0</v>
      </c>
      <c r="U624">
        <f>IF('Metric Details'!F624=$H$1,0,IF('Metric Details'!F624=$H$2,1,2))</f>
        <v>2</v>
      </c>
      <c r="V624">
        <f>LEN('Metric Details'!H624)</f>
        <v>0</v>
      </c>
      <c r="W624">
        <f t="shared" si="29"/>
        <v>2</v>
      </c>
      <c r="X624">
        <f t="shared" ca="1" si="30"/>
        <v>82</v>
      </c>
    </row>
  </sheetData>
  <customSheetViews>
    <customSheetView guid="{53C5DE82-FE17-4722-873D-10749BE7DF83}" hiddenColumns="1">
      <selection activeCell="S2" sqref="S2"/>
    </customSheetView>
  </customSheetView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Read Me</vt:lpstr>
      <vt:lpstr>Measures and Benchmarks</vt:lpstr>
      <vt:lpstr>Metrics</vt:lpstr>
      <vt:lpstr>Metric Details</vt:lpstr>
      <vt:lpstr>Copyright</vt:lpstr>
      <vt:lpstr>(Hidden Sheet)</vt:lpstr>
    </vt:vector>
  </TitlesOfParts>
  <Company>Epic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Stein</dc:creator>
  <cp:lastModifiedBy>Rafael Richards</cp:lastModifiedBy>
  <dcterms:created xsi:type="dcterms:W3CDTF">2015-04-24T14:10:58Z</dcterms:created>
  <dcterms:modified xsi:type="dcterms:W3CDTF">2015-09-30T19:07:47Z</dcterms:modified>
</cp:coreProperties>
</file>